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k\Software Dev\Excel\Excel IP Calculator\"/>
    </mc:Choice>
  </mc:AlternateContent>
  <xr:revisionPtr revIDLastSave="0" documentId="13_ncr:1_{62CFA03F-BA58-411E-BA3A-3C3490802865}" xr6:coauthVersionLast="47" xr6:coauthVersionMax="47" xr10:uidLastSave="{00000000-0000-0000-0000-000000000000}"/>
  <bookViews>
    <workbookView xWindow="11685" yWindow="3690" windowWidth="25005" windowHeight="16530" activeTab="5" xr2:uid="{00000000-000D-0000-FFFF-FFFF00000000}"/>
  </bookViews>
  <sheets>
    <sheet name="INTRODUCTION" sheetId="5" r:id="rId1"/>
    <sheet name="Calculate Network" sheetId="2" r:id="rId2"/>
    <sheet name="CLASSES" sheetId="7" r:id="rId3"/>
    <sheet name="Reserved IP Addresses" sheetId="4" r:id="rId4"/>
    <sheet name="Subnetting" sheetId="3" r:id="rId5"/>
    <sheet name="Fixed Forma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2" l="1"/>
  <c r="L18" i="2" s="1"/>
  <c r="K18" i="2" s="1"/>
  <c r="J17" i="2"/>
  <c r="I17" i="2" s="1"/>
  <c r="I18" i="2" l="1"/>
  <c r="L17" i="2"/>
  <c r="N18" i="2"/>
  <c r="P18" i="2"/>
  <c r="Q18" i="2" s="1"/>
  <c r="B8" i="6"/>
  <c r="J16" i="2"/>
  <c r="I16" i="2" s="1"/>
  <c r="J15" i="2"/>
  <c r="I15" i="2"/>
  <c r="J14" i="2"/>
  <c r="I14" i="2" s="1"/>
  <c r="J13" i="2"/>
  <c r="J12" i="2"/>
  <c r="I12" i="2" s="1"/>
  <c r="O18" i="2" l="1"/>
  <c r="P17" i="2"/>
  <c r="Q17" i="2" s="1"/>
  <c r="N17" i="2"/>
  <c r="T18" i="2"/>
  <c r="R18" i="2"/>
  <c r="S18" i="2"/>
  <c r="M18" i="2"/>
  <c r="K17" i="2"/>
  <c r="L14" i="2"/>
  <c r="L15" i="2"/>
  <c r="L16" i="2"/>
  <c r="L13" i="2"/>
  <c r="I13" i="2"/>
  <c r="L12" i="2"/>
  <c r="K12" i="2" s="1"/>
  <c r="O17" i="2" l="1"/>
  <c r="M17" i="2"/>
  <c r="T17" i="2"/>
  <c r="R17" i="2"/>
  <c r="S17" i="2"/>
  <c r="U18" i="2"/>
  <c r="V18" i="2"/>
  <c r="P16" i="2"/>
  <c r="Q16" i="2" s="1"/>
  <c r="N16" i="2"/>
  <c r="M16" i="2"/>
  <c r="P15" i="2"/>
  <c r="Q15" i="2" s="1"/>
  <c r="N15" i="2"/>
  <c r="O15" i="2" s="1"/>
  <c r="P14" i="2"/>
  <c r="Q14" i="2" s="1"/>
  <c r="N14" i="2"/>
  <c r="M14" i="2" s="1"/>
  <c r="K15" i="2"/>
  <c r="K14" i="2"/>
  <c r="K16" i="2"/>
  <c r="P13" i="2"/>
  <c r="Q13" i="2" s="1"/>
  <c r="N13" i="2"/>
  <c r="O13" i="2" s="1"/>
  <c r="K13" i="2"/>
  <c r="P12" i="2"/>
  <c r="Q12" i="2" s="1"/>
  <c r="N12" i="2"/>
  <c r="O12" i="2" l="1"/>
  <c r="W18" i="2"/>
  <c r="X18" i="2"/>
  <c r="AE18" i="2"/>
  <c r="AC18" i="2"/>
  <c r="AI18" i="2"/>
  <c r="AH18" i="2"/>
  <c r="AG18" i="2"/>
  <c r="AF18" i="2"/>
  <c r="AD18" i="2"/>
  <c r="AB18" i="2"/>
  <c r="V17" i="2"/>
  <c r="U17" i="2"/>
  <c r="O14" i="2"/>
  <c r="S14" i="2"/>
  <c r="R14" i="2"/>
  <c r="T14" i="2"/>
  <c r="M15" i="2"/>
  <c r="S15" i="2"/>
  <c r="R15" i="2"/>
  <c r="T15" i="2"/>
  <c r="O16" i="2"/>
  <c r="S16" i="2"/>
  <c r="R16" i="2"/>
  <c r="T16" i="2"/>
  <c r="S13" i="2"/>
  <c r="R13" i="2"/>
  <c r="T13" i="2"/>
  <c r="M13" i="2"/>
  <c r="M12" i="2"/>
  <c r="S12" i="2"/>
  <c r="R12" i="2"/>
  <c r="T12" i="2"/>
  <c r="AJ18" i="2" l="1"/>
  <c r="AK18" i="2" s="1"/>
  <c r="X17" i="2"/>
  <c r="W17" i="2"/>
  <c r="AH17" i="2"/>
  <c r="AG17" i="2"/>
  <c r="AE17" i="2"/>
  <c r="AF17" i="2"/>
  <c r="AD17" i="2"/>
  <c r="AC17" i="2"/>
  <c r="AI17" i="2"/>
  <c r="AB17" i="2"/>
  <c r="Z18" i="2"/>
  <c r="AA18" i="2" s="1"/>
  <c r="Y18" i="2"/>
  <c r="AM18" i="2"/>
  <c r="AS18" i="2"/>
  <c r="AR18" i="2"/>
  <c r="AN18" i="2"/>
  <c r="AQ18" i="2"/>
  <c r="AP18" i="2"/>
  <c r="AO18" i="2"/>
  <c r="AL18" i="2"/>
  <c r="AT18" i="2" s="1"/>
  <c r="AU18" i="2" s="1"/>
  <c r="U16" i="2"/>
  <c r="V16" i="2"/>
  <c r="V15" i="2"/>
  <c r="U15" i="2"/>
  <c r="V14" i="2"/>
  <c r="U14" i="2"/>
  <c r="U13" i="2"/>
  <c r="V13" i="2"/>
  <c r="V12" i="2"/>
  <c r="U12" i="2"/>
  <c r="AJ17" i="2" l="1"/>
  <c r="AK17" i="2" s="1"/>
  <c r="BC18" i="2"/>
  <c r="BA18" i="2"/>
  <c r="AV18" i="2"/>
  <c r="BB18" i="2"/>
  <c r="AZ18" i="2"/>
  <c r="AY18" i="2"/>
  <c r="AX18" i="2"/>
  <c r="AW18" i="2"/>
  <c r="AP17" i="2"/>
  <c r="AQ17" i="2"/>
  <c r="AM17" i="2"/>
  <c r="AS17" i="2"/>
  <c r="AO17" i="2"/>
  <c r="AN17" i="2"/>
  <c r="AL17" i="2"/>
  <c r="AR17" i="2"/>
  <c r="BK18" i="2"/>
  <c r="BI18" i="2"/>
  <c r="BF18" i="2"/>
  <c r="BM18" i="2"/>
  <c r="BH18" i="2"/>
  <c r="BL18" i="2"/>
  <c r="BJ18" i="2"/>
  <c r="BG18" i="2"/>
  <c r="Y17" i="2"/>
  <c r="Z17" i="2"/>
  <c r="AA17" i="2" s="1"/>
  <c r="AE14" i="2"/>
  <c r="AD14" i="2"/>
  <c r="AC14" i="2"/>
  <c r="AB14" i="2"/>
  <c r="AI14" i="2"/>
  <c r="AH14" i="2"/>
  <c r="AF14" i="2"/>
  <c r="AG14" i="2"/>
  <c r="X14" i="2"/>
  <c r="W14" i="2"/>
  <c r="AE15" i="2"/>
  <c r="AD15" i="2"/>
  <c r="AC15" i="2"/>
  <c r="AB15" i="2"/>
  <c r="AI15" i="2"/>
  <c r="AF15" i="2"/>
  <c r="AH15" i="2"/>
  <c r="AG15" i="2"/>
  <c r="X15" i="2"/>
  <c r="W15" i="2"/>
  <c r="X16" i="2"/>
  <c r="W16" i="2"/>
  <c r="AE16" i="2"/>
  <c r="AD16" i="2"/>
  <c r="AC16" i="2"/>
  <c r="AG16" i="2"/>
  <c r="AB16" i="2"/>
  <c r="AI16" i="2"/>
  <c r="AF16" i="2"/>
  <c r="AH16" i="2"/>
  <c r="X13" i="2"/>
  <c r="W13" i="2"/>
  <c r="AE13" i="2"/>
  <c r="AD13" i="2"/>
  <c r="AC13" i="2"/>
  <c r="AI13" i="2"/>
  <c r="AH13" i="2"/>
  <c r="AB13" i="2"/>
  <c r="AG13" i="2"/>
  <c r="AF13" i="2"/>
  <c r="AE12" i="2"/>
  <c r="AF12" i="2"/>
  <c r="AD12" i="2"/>
  <c r="AH12" i="2"/>
  <c r="AC12" i="2"/>
  <c r="AB12" i="2"/>
  <c r="AG12" i="2"/>
  <c r="AI12" i="2"/>
  <c r="W12" i="2"/>
  <c r="X12" i="2"/>
  <c r="AJ12" i="2" l="1"/>
  <c r="AJ13" i="2"/>
  <c r="AK13" i="2" s="1"/>
  <c r="AJ16" i="2"/>
  <c r="AJ15" i="2"/>
  <c r="AJ14" i="2"/>
  <c r="BN18" i="2"/>
  <c r="BO18" i="2" s="1"/>
  <c r="AT17" i="2"/>
  <c r="AU17" i="2" s="1"/>
  <c r="BD18" i="2"/>
  <c r="BE18" i="2" s="1"/>
  <c r="C18" i="2" s="1"/>
  <c r="AK14" i="2"/>
  <c r="BF17" i="2"/>
  <c r="BL17" i="2"/>
  <c r="BK17" i="2"/>
  <c r="BJ17" i="2"/>
  <c r="BI17" i="2"/>
  <c r="BH17" i="2"/>
  <c r="BG17" i="2"/>
  <c r="BM17" i="2"/>
  <c r="AX17" i="2"/>
  <c r="AV17" i="2"/>
  <c r="BA17" i="2"/>
  <c r="AY17" i="2"/>
  <c r="AZ17" i="2"/>
  <c r="AW17" i="2"/>
  <c r="BC17" i="2"/>
  <c r="BB17" i="2"/>
  <c r="AQ16" i="2"/>
  <c r="AP16" i="2"/>
  <c r="AO16" i="2"/>
  <c r="AN16" i="2"/>
  <c r="AM16" i="2"/>
  <c r="AL16" i="2"/>
  <c r="AT16" i="2" s="1"/>
  <c r="AS16" i="2"/>
  <c r="AR16" i="2"/>
  <c r="AQ14" i="2"/>
  <c r="AP14" i="2"/>
  <c r="AO14" i="2"/>
  <c r="AN14" i="2"/>
  <c r="AM14" i="2"/>
  <c r="AL14" i="2"/>
  <c r="AS14" i="2"/>
  <c r="AR14" i="2"/>
  <c r="Z16" i="2"/>
  <c r="AA16" i="2" s="1"/>
  <c r="Y16" i="2"/>
  <c r="Z14" i="2"/>
  <c r="AA14" i="2" s="1"/>
  <c r="Y14" i="2"/>
  <c r="AQ15" i="2"/>
  <c r="AP15" i="2"/>
  <c r="AO15" i="2"/>
  <c r="AN15" i="2"/>
  <c r="AM15" i="2"/>
  <c r="AL15" i="2"/>
  <c r="AS15" i="2"/>
  <c r="AR15" i="2"/>
  <c r="Z15" i="2"/>
  <c r="AA15" i="2" s="1"/>
  <c r="Y15" i="2"/>
  <c r="AQ13" i="2"/>
  <c r="AP13" i="2"/>
  <c r="AS13" i="2"/>
  <c r="AR13" i="2"/>
  <c r="AO13" i="2"/>
  <c r="AL13" i="2"/>
  <c r="AN13" i="2"/>
  <c r="AM13" i="2"/>
  <c r="Y13" i="2"/>
  <c r="Z13" i="2"/>
  <c r="AA13" i="2" s="1"/>
  <c r="Z12" i="2"/>
  <c r="AA12" i="2" s="1"/>
  <c r="Y12" i="2"/>
  <c r="AQ12" i="2"/>
  <c r="AP12" i="2"/>
  <c r="AO12" i="2"/>
  <c r="AN12" i="2"/>
  <c r="AM12" i="2"/>
  <c r="AL12" i="2"/>
  <c r="AR12" i="2"/>
  <c r="AS12" i="2"/>
  <c r="BD17" i="2" l="1"/>
  <c r="BE17" i="2" s="1"/>
  <c r="C17" i="2" s="1"/>
  <c r="BN17" i="2"/>
  <c r="BO17" i="2" s="1"/>
  <c r="AK12" i="2"/>
  <c r="AK15" i="2"/>
  <c r="AU16" i="2"/>
  <c r="AK16" i="2"/>
  <c r="BC14" i="2"/>
  <c r="BB14" i="2"/>
  <c r="BA14" i="2"/>
  <c r="AZ14" i="2"/>
  <c r="AY14" i="2"/>
  <c r="AX14" i="2"/>
  <c r="AW14" i="2"/>
  <c r="AV14" i="2"/>
  <c r="BM14" i="2"/>
  <c r="BL14" i="2"/>
  <c r="BK14" i="2"/>
  <c r="BJ14" i="2"/>
  <c r="BI14" i="2"/>
  <c r="BH14" i="2"/>
  <c r="BF14" i="2"/>
  <c r="BG14" i="2"/>
  <c r="BC15" i="2"/>
  <c r="BB15" i="2"/>
  <c r="BA15" i="2"/>
  <c r="AZ15" i="2"/>
  <c r="AY15" i="2"/>
  <c r="AX15" i="2"/>
  <c r="AW15" i="2"/>
  <c r="AV15" i="2"/>
  <c r="BC16" i="2"/>
  <c r="BB16" i="2"/>
  <c r="BA16" i="2"/>
  <c r="AZ16" i="2"/>
  <c r="AY16" i="2"/>
  <c r="AX16" i="2"/>
  <c r="AW16" i="2"/>
  <c r="AV16" i="2"/>
  <c r="BM15" i="2"/>
  <c r="BL15" i="2"/>
  <c r="BK15" i="2"/>
  <c r="BJ15" i="2"/>
  <c r="BI15" i="2"/>
  <c r="BF15" i="2"/>
  <c r="BH15" i="2"/>
  <c r="BG15" i="2"/>
  <c r="BM16" i="2"/>
  <c r="BL16" i="2"/>
  <c r="BK16" i="2"/>
  <c r="BJ16" i="2"/>
  <c r="BI16" i="2"/>
  <c r="BH16" i="2"/>
  <c r="BG16" i="2"/>
  <c r="BF16" i="2"/>
  <c r="BG13" i="2"/>
  <c r="BM13" i="2"/>
  <c r="BH13" i="2"/>
  <c r="BL13" i="2"/>
  <c r="BF13" i="2"/>
  <c r="BK13" i="2"/>
  <c r="BJ13" i="2"/>
  <c r="BI13" i="2"/>
  <c r="BC13" i="2"/>
  <c r="BB13" i="2"/>
  <c r="BA13" i="2"/>
  <c r="AW13" i="2"/>
  <c r="AZ13" i="2"/>
  <c r="AY13" i="2"/>
  <c r="AX13" i="2"/>
  <c r="AV13" i="2"/>
  <c r="BC12" i="2"/>
  <c r="BB12" i="2"/>
  <c r="BA12" i="2"/>
  <c r="AZ12" i="2"/>
  <c r="AV12" i="2"/>
  <c r="AY12" i="2"/>
  <c r="AW12" i="2"/>
  <c r="AX12" i="2"/>
  <c r="BM12" i="2"/>
  <c r="BI12" i="2"/>
  <c r="BL12" i="2"/>
  <c r="BG12" i="2"/>
  <c r="BK12" i="2"/>
  <c r="BH12" i="2"/>
  <c r="BJ12" i="2"/>
  <c r="BF12" i="2"/>
  <c r="AT14" i="2"/>
  <c r="AT12" i="2"/>
  <c r="AT15" i="2"/>
  <c r="AT13" i="2"/>
  <c r="AU12" i="2" l="1"/>
  <c r="AU13" i="2"/>
  <c r="AU14" i="2"/>
  <c r="AU15" i="2"/>
  <c r="BD14" i="2"/>
  <c r="BN13" i="2"/>
  <c r="BN14" i="2"/>
  <c r="BN12" i="2"/>
  <c r="BD13" i="2"/>
  <c r="BN16" i="2"/>
  <c r="BN15" i="2"/>
  <c r="BD12" i="2"/>
  <c r="BD15" i="2"/>
  <c r="BD16" i="2"/>
  <c r="BE14" i="2" l="1"/>
  <c r="BE15" i="2"/>
  <c r="BO15" i="2"/>
  <c r="BO14" i="2"/>
  <c r="BO12" i="2"/>
  <c r="BE12" i="2"/>
  <c r="BE13" i="2"/>
  <c r="BO13" i="2"/>
  <c r="BO16" i="2"/>
  <c r="BE16" i="2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L7" i="3"/>
  <c r="C16" i="2" l="1"/>
  <c r="C12" i="2"/>
  <c r="C13" i="2"/>
  <c r="C15" i="2"/>
  <c r="C14" i="2"/>
  <c r="D7" i="3"/>
  <c r="E7" i="3"/>
  <c r="K8" i="3"/>
  <c r="N7" i="3"/>
  <c r="M7" i="3"/>
  <c r="K7" i="3"/>
  <c r="L8" i="3" l="1"/>
  <c r="E8" i="3"/>
  <c r="D8" i="3"/>
  <c r="O7" i="3"/>
  <c r="P7" i="3"/>
  <c r="Q7" i="3" s="1"/>
  <c r="C7" i="3" l="1"/>
  <c r="M8" i="3"/>
  <c r="N8" i="3"/>
  <c r="E9" i="3"/>
  <c r="D9" i="3"/>
  <c r="L9" i="3"/>
  <c r="K9" i="3"/>
  <c r="J11" i="2"/>
  <c r="L11" i="2" s="1"/>
  <c r="J10" i="2"/>
  <c r="L10" i="2" s="1"/>
  <c r="O8" i="3" l="1"/>
  <c r="P8" i="3"/>
  <c r="Q8" i="3" s="1"/>
  <c r="E10" i="3"/>
  <c r="D10" i="3"/>
  <c r="K10" i="3"/>
  <c r="L10" i="3"/>
  <c r="M9" i="3"/>
  <c r="N9" i="3"/>
  <c r="I11" i="2"/>
  <c r="P11" i="2"/>
  <c r="Q11" i="2" s="1"/>
  <c r="N11" i="2"/>
  <c r="M11" i="2" s="1"/>
  <c r="K11" i="2"/>
  <c r="I10" i="2"/>
  <c r="P10" i="2"/>
  <c r="Q10" i="2" s="1"/>
  <c r="N10" i="2"/>
  <c r="K10" i="2"/>
  <c r="C8" i="3" l="1"/>
  <c r="E11" i="3"/>
  <c r="D11" i="3"/>
  <c r="P9" i="3"/>
  <c r="Q9" i="3" s="1"/>
  <c r="O9" i="3"/>
  <c r="L11" i="3"/>
  <c r="K11" i="3"/>
  <c r="N10" i="3"/>
  <c r="M10" i="3"/>
  <c r="R10" i="2"/>
  <c r="S10" i="2"/>
  <c r="S11" i="2"/>
  <c r="R11" i="2"/>
  <c r="O11" i="2"/>
  <c r="T11" i="2"/>
  <c r="O10" i="2"/>
  <c r="M10" i="2"/>
  <c r="T10" i="2"/>
  <c r="C9" i="3" l="1"/>
  <c r="E12" i="3"/>
  <c r="D12" i="3"/>
  <c r="O10" i="3"/>
  <c r="P10" i="3"/>
  <c r="Q10" i="3" s="1"/>
  <c r="N11" i="3"/>
  <c r="M11" i="3"/>
  <c r="K12" i="3"/>
  <c r="L12" i="3"/>
  <c r="V11" i="2"/>
  <c r="U11" i="2"/>
  <c r="U10" i="2"/>
  <c r="V10" i="2"/>
  <c r="AC10" i="2" l="1"/>
  <c r="AB10" i="2"/>
  <c r="C10" i="3"/>
  <c r="E13" i="3"/>
  <c r="D13" i="3"/>
  <c r="N12" i="3"/>
  <c r="M12" i="3"/>
  <c r="K13" i="3"/>
  <c r="L13" i="3"/>
  <c r="O11" i="3"/>
  <c r="P11" i="3"/>
  <c r="Q11" i="3" s="1"/>
  <c r="AE11" i="2"/>
  <c r="AD11" i="2"/>
  <c r="AF11" i="2"/>
  <c r="AC11" i="2"/>
  <c r="AB11" i="2"/>
  <c r="AG11" i="2"/>
  <c r="AI11" i="2"/>
  <c r="AH11" i="2"/>
  <c r="X11" i="2"/>
  <c r="Z11" i="2" s="1"/>
  <c r="W11" i="2"/>
  <c r="X10" i="2"/>
  <c r="Z10" i="2" s="1"/>
  <c r="W10" i="2"/>
  <c r="AH10" i="2"/>
  <c r="AI10" i="2"/>
  <c r="AG10" i="2"/>
  <c r="AD10" i="2"/>
  <c r="AF10" i="2"/>
  <c r="AE10" i="2"/>
  <c r="AJ11" i="2" l="1"/>
  <c r="AJ10" i="2"/>
  <c r="C11" i="3"/>
  <c r="AK10" i="2"/>
  <c r="E14" i="3"/>
  <c r="D14" i="3"/>
  <c r="M13" i="3"/>
  <c r="N13" i="3"/>
  <c r="L14" i="3"/>
  <c r="K14" i="3"/>
  <c r="P12" i="3"/>
  <c r="Q12" i="3" s="1"/>
  <c r="O12" i="3"/>
  <c r="AA11" i="2"/>
  <c r="Y11" i="2"/>
  <c r="AQ11" i="2"/>
  <c r="AP11" i="2"/>
  <c r="AR11" i="2"/>
  <c r="AO11" i="2"/>
  <c r="AS11" i="2"/>
  <c r="AN11" i="2"/>
  <c r="AM11" i="2"/>
  <c r="AL11" i="2"/>
  <c r="Y10" i="2"/>
  <c r="AA10" i="2"/>
  <c r="AN10" i="2"/>
  <c r="AM10" i="2"/>
  <c r="AL10" i="2"/>
  <c r="AS10" i="2"/>
  <c r="AR10" i="2"/>
  <c r="AO10" i="2"/>
  <c r="AQ10" i="2"/>
  <c r="AP10" i="2"/>
  <c r="AT10" i="2" l="1"/>
  <c r="AK11" i="2"/>
  <c r="C12" i="3"/>
  <c r="E15" i="3"/>
  <c r="D15" i="3"/>
  <c r="M14" i="3"/>
  <c r="N14" i="3"/>
  <c r="L15" i="3"/>
  <c r="K15" i="3"/>
  <c r="O13" i="3"/>
  <c r="P13" i="3"/>
  <c r="Q13" i="3" s="1"/>
  <c r="BM11" i="2"/>
  <c r="BL11" i="2"/>
  <c r="BK11" i="2"/>
  <c r="BH11" i="2"/>
  <c r="BJ11" i="2"/>
  <c r="BI11" i="2"/>
  <c r="BG11" i="2"/>
  <c r="BF11" i="2"/>
  <c r="BC11" i="2"/>
  <c r="BB11" i="2"/>
  <c r="BA11" i="2"/>
  <c r="AZ11" i="2"/>
  <c r="AY11" i="2"/>
  <c r="AX11" i="2"/>
  <c r="AW11" i="2"/>
  <c r="AV11" i="2"/>
  <c r="BL10" i="2"/>
  <c r="BK10" i="2"/>
  <c r="BJ10" i="2"/>
  <c r="BI10" i="2"/>
  <c r="BF10" i="2"/>
  <c r="BG10" i="2"/>
  <c r="BH10" i="2"/>
  <c r="BM10" i="2"/>
  <c r="AZ10" i="2"/>
  <c r="BB10" i="2"/>
  <c r="AY10" i="2"/>
  <c r="AX10" i="2"/>
  <c r="AW10" i="2"/>
  <c r="AV10" i="2"/>
  <c r="BA10" i="2"/>
  <c r="BC10" i="2"/>
  <c r="AT11" i="2"/>
  <c r="C13" i="3" l="1"/>
  <c r="AU10" i="2"/>
  <c r="AU11" i="2"/>
  <c r="E16" i="3"/>
  <c r="D16" i="3"/>
  <c r="M15" i="3"/>
  <c r="N15" i="3"/>
  <c r="K16" i="3"/>
  <c r="L16" i="3"/>
  <c r="P14" i="3"/>
  <c r="Q14" i="3" s="1"/>
  <c r="O14" i="3"/>
  <c r="BN11" i="2"/>
  <c r="BD10" i="2"/>
  <c r="BD11" i="2"/>
  <c r="BN10" i="2"/>
  <c r="BO11" i="2" l="1"/>
  <c r="BE10" i="2"/>
  <c r="BO10" i="2"/>
  <c r="BE11" i="2"/>
  <c r="C11" i="2" s="1"/>
  <c r="C14" i="3"/>
  <c r="E17" i="3"/>
  <c r="D17" i="3"/>
  <c r="N16" i="3"/>
  <c r="M16" i="3"/>
  <c r="L17" i="3"/>
  <c r="K17" i="3"/>
  <c r="P15" i="3"/>
  <c r="Q15" i="3" s="1"/>
  <c r="O15" i="3"/>
  <c r="C10" i="2" l="1"/>
  <c r="C15" i="3"/>
  <c r="E18" i="3"/>
  <c r="D18" i="3"/>
  <c r="N17" i="3"/>
  <c r="M17" i="3"/>
  <c r="K18" i="3"/>
  <c r="L18" i="3"/>
  <c r="P16" i="3"/>
  <c r="Q16" i="3" s="1"/>
  <c r="O16" i="3"/>
  <c r="C16" i="3" s="1"/>
  <c r="E19" i="3" l="1"/>
  <c r="D19" i="3"/>
  <c r="M18" i="3"/>
  <c r="N18" i="3"/>
  <c r="K19" i="3"/>
  <c r="L19" i="3"/>
  <c r="P17" i="3"/>
  <c r="Q17" i="3" s="1"/>
  <c r="O17" i="3"/>
  <c r="C17" i="3" s="1"/>
  <c r="D20" i="3" l="1"/>
  <c r="E20" i="3"/>
  <c r="M19" i="3"/>
  <c r="N19" i="3"/>
  <c r="L20" i="3"/>
  <c r="K20" i="3"/>
  <c r="P18" i="3"/>
  <c r="Q18" i="3" s="1"/>
  <c r="O18" i="3"/>
  <c r="C18" i="3" s="1"/>
  <c r="E21" i="3" l="1"/>
  <c r="D21" i="3"/>
  <c r="L21" i="3"/>
  <c r="K21" i="3"/>
  <c r="N20" i="3"/>
  <c r="M20" i="3"/>
  <c r="O19" i="3"/>
  <c r="P19" i="3"/>
  <c r="Q19" i="3" s="1"/>
  <c r="C19" i="3" l="1"/>
  <c r="D22" i="3"/>
  <c r="E22" i="3"/>
  <c r="P20" i="3"/>
  <c r="Q20" i="3" s="1"/>
  <c r="O20" i="3"/>
  <c r="C20" i="3" s="1"/>
  <c r="N21" i="3"/>
  <c r="M21" i="3"/>
  <c r="K22" i="3"/>
  <c r="L22" i="3"/>
  <c r="E23" i="3" l="1"/>
  <c r="D23" i="3"/>
  <c r="M22" i="3"/>
  <c r="N22" i="3"/>
  <c r="L23" i="3"/>
  <c r="K23" i="3"/>
  <c r="O21" i="3"/>
  <c r="P21" i="3"/>
  <c r="Q21" i="3" s="1"/>
  <c r="C21" i="3" l="1"/>
  <c r="E24" i="3"/>
  <c r="D24" i="3"/>
  <c r="K24" i="3"/>
  <c r="L24" i="3"/>
  <c r="O22" i="3"/>
  <c r="P22" i="3"/>
  <c r="Q22" i="3" s="1"/>
  <c r="N23" i="3"/>
  <c r="M23" i="3"/>
  <c r="C22" i="3" l="1"/>
  <c r="E25" i="3"/>
  <c r="D25" i="3"/>
  <c r="K25" i="3"/>
  <c r="L25" i="3"/>
  <c r="O23" i="3"/>
  <c r="P23" i="3"/>
  <c r="Q23" i="3" s="1"/>
  <c r="N24" i="3"/>
  <c r="M24" i="3"/>
  <c r="C23" i="3" l="1"/>
  <c r="D26" i="3"/>
  <c r="E26" i="3"/>
  <c r="P24" i="3"/>
  <c r="Q24" i="3" s="1"/>
  <c r="O24" i="3"/>
  <c r="C24" i="3" s="1"/>
  <c r="N25" i="3"/>
  <c r="M25" i="3"/>
  <c r="L26" i="3"/>
  <c r="K26" i="3"/>
  <c r="D27" i="3" l="1"/>
  <c r="E27" i="3"/>
  <c r="L27" i="3"/>
  <c r="K27" i="3"/>
  <c r="O25" i="3"/>
  <c r="P25" i="3"/>
  <c r="Q25" i="3" s="1"/>
  <c r="N26" i="3"/>
  <c r="M26" i="3"/>
  <c r="D28" i="3" l="1"/>
  <c r="E28" i="3"/>
  <c r="C25" i="3"/>
  <c r="K28" i="3"/>
  <c r="L28" i="3"/>
  <c r="O26" i="3"/>
  <c r="P26" i="3"/>
  <c r="Q26" i="3" s="1"/>
  <c r="N27" i="3"/>
  <c r="M27" i="3"/>
  <c r="C26" i="3" l="1"/>
  <c r="E30" i="3"/>
  <c r="D30" i="3"/>
  <c r="E29" i="3"/>
  <c r="D29" i="3"/>
  <c r="P27" i="3"/>
  <c r="Q27" i="3" s="1"/>
  <c r="O27" i="3"/>
  <c r="C27" i="3" s="1"/>
  <c r="L30" i="3"/>
  <c r="K30" i="3"/>
  <c r="M28" i="3"/>
  <c r="N28" i="3"/>
  <c r="L29" i="3"/>
  <c r="K29" i="3"/>
  <c r="N29" i="3" l="1"/>
  <c r="M29" i="3"/>
  <c r="M30" i="3"/>
  <c r="N30" i="3"/>
  <c r="O28" i="3"/>
  <c r="P28" i="3"/>
  <c r="Q28" i="3" s="1"/>
  <c r="C28" i="3" l="1"/>
  <c r="E31" i="3"/>
  <c r="D31" i="3"/>
  <c r="L31" i="3"/>
  <c r="K31" i="3"/>
  <c r="O30" i="3"/>
  <c r="P30" i="3"/>
  <c r="Q30" i="3" s="1"/>
  <c r="C30" i="3" s="1"/>
  <c r="O29" i="3"/>
  <c r="P29" i="3"/>
  <c r="Q29" i="3" s="1"/>
  <c r="C29" i="3" l="1"/>
  <c r="E32" i="3"/>
  <c r="D32" i="3"/>
  <c r="K32" i="3"/>
  <c r="L32" i="3"/>
  <c r="N31" i="3"/>
  <c r="M31" i="3"/>
  <c r="D33" i="3" l="1"/>
  <c r="E33" i="3"/>
  <c r="N32" i="3"/>
  <c r="M32" i="3"/>
  <c r="L33" i="3"/>
  <c r="K33" i="3"/>
  <c r="P31" i="3"/>
  <c r="Q31" i="3" s="1"/>
  <c r="O31" i="3"/>
  <c r="C31" i="3" s="1"/>
  <c r="E34" i="3" l="1"/>
  <c r="D34" i="3"/>
  <c r="L34" i="3"/>
  <c r="K34" i="3"/>
  <c r="M33" i="3"/>
  <c r="N33" i="3"/>
  <c r="P32" i="3"/>
  <c r="Q32" i="3" s="1"/>
  <c r="O32" i="3"/>
  <c r="C32" i="3" s="1"/>
  <c r="E35" i="3" l="1"/>
  <c r="D35" i="3"/>
  <c r="O33" i="3"/>
  <c r="P33" i="3"/>
  <c r="Q33" i="3" s="1"/>
  <c r="C33" i="3" s="1"/>
  <c r="L35" i="3"/>
  <c r="K35" i="3"/>
  <c r="N34" i="3"/>
  <c r="M34" i="3"/>
  <c r="E36" i="3" l="1"/>
  <c r="D36" i="3"/>
  <c r="L36" i="3"/>
  <c r="K36" i="3"/>
  <c r="P34" i="3"/>
  <c r="Q34" i="3" s="1"/>
  <c r="O34" i="3"/>
  <c r="C34" i="3" s="1"/>
  <c r="N35" i="3"/>
  <c r="M35" i="3"/>
  <c r="E37" i="3" l="1"/>
  <c r="D37" i="3"/>
  <c r="P35" i="3"/>
  <c r="Q35" i="3" s="1"/>
  <c r="O35" i="3"/>
  <c r="C35" i="3" s="1"/>
  <c r="L37" i="3"/>
  <c r="K37" i="3"/>
  <c r="N36" i="3"/>
  <c r="M36" i="3"/>
  <c r="O36" i="3" l="1"/>
  <c r="P36" i="3"/>
  <c r="Q36" i="3" s="1"/>
  <c r="M37" i="3"/>
  <c r="N37" i="3"/>
  <c r="C36" i="3" l="1"/>
  <c r="P37" i="3"/>
  <c r="Q37" i="3" s="1"/>
  <c r="O37" i="3"/>
  <c r="C37" i="3" s="1"/>
</calcChain>
</file>

<file path=xl/sharedStrings.xml><?xml version="1.0" encoding="utf-8"?>
<sst xmlns="http://schemas.openxmlformats.org/spreadsheetml/2006/main" count="161" uniqueCount="138">
  <si>
    <t>Excel Network Calculator</t>
  </si>
  <si>
    <t>No macros!</t>
  </si>
  <si>
    <t>See [tabs] below</t>
  </si>
  <si>
    <t>?</t>
  </si>
  <si>
    <t xml:space="preserve">    |</t>
  </si>
  <si>
    <t xml:space="preserve">    V</t>
  </si>
  <si>
    <t>oct1</t>
  </si>
  <si>
    <t>oct2</t>
  </si>
  <si>
    <t>oct3</t>
  </si>
  <si>
    <t>oct4</t>
  </si>
  <si>
    <t>sub</t>
  </si>
  <si>
    <t>sub1</t>
  </si>
  <si>
    <t>sub2</t>
  </si>
  <si>
    <t>sub3</t>
  </si>
  <si>
    <t>sub4</t>
  </si>
  <si>
    <t>and oct 1 bit 1</t>
  </si>
  <si>
    <t>and oct 1 bit 8</t>
  </si>
  <si>
    <t>and o2 bit 1</t>
  </si>
  <si>
    <t>and o2 bit 8</t>
  </si>
  <si>
    <t>and o3 bit 1</t>
  </si>
  <si>
    <t>and o3 bit 8</t>
  </si>
  <si>
    <t>and o4 bit 1</t>
  </si>
  <si>
    <t>and o4 bit 8</t>
  </si>
  <si>
    <t>input</t>
  </si>
  <si>
    <t xml:space="preserve">output </t>
  </si>
  <si>
    <t>bin</t>
  </si>
  <si>
    <t>.</t>
  </si>
  <si>
    <t>/</t>
  </si>
  <si>
    <t>dec</t>
  </si>
  <si>
    <t>max subnets</t>
  </si>
  <si>
    <t>max hosts</t>
  </si>
  <si>
    <t>11111111</t>
  </si>
  <si>
    <t>00000000</t>
  </si>
  <si>
    <t>10.45.55.254/24</t>
  </si>
  <si>
    <t>10.255.161.10/30</t>
  </si>
  <si>
    <t>10.239.255.134/29</t>
  </si>
  <si>
    <t>10.239.255.238/28</t>
  </si>
  <si>
    <t>10.56.205.254/26</t>
  </si>
  <si>
    <t>10.45.86.30/27</t>
  </si>
  <si>
    <t>10.45.86.254/25</t>
  </si>
  <si>
    <t>23.40.57.7/13</t>
  </si>
  <si>
    <t>SUBNETTING OPTIONS UNDERSTOOD</t>
  </si>
  <si>
    <t>CIDR block to sub net mask conversion, max useable subnets and hosts</t>
  </si>
  <si>
    <t>max useable</t>
  </si>
  <si>
    <t>n.n.n.n</t>
  </si>
  <si>
    <t>subnet mask</t>
  </si>
  <si>
    <t>subnets</t>
  </si>
  <si>
    <t>hosts</t>
  </si>
  <si>
    <t xml:space="preserve">IP addresses in spreadsheets can be difficult to work with because of </t>
  </si>
  <si>
    <t>sorting and parsing octets.  This helps.</t>
  </si>
  <si>
    <t>soruce:    https://www.extendoffice.com/documents/excel/4946-excel-sort-ip-address.html</t>
  </si>
  <si>
    <t>Input</t>
  </si>
  <si>
    <t>Output</t>
  </si>
  <si>
    <t>192.168.12.1</t>
  </si>
  <si>
    <t>RESERVED IP ADDRESSES</t>
  </si>
  <si>
    <t>Address block</t>
  </si>
  <si>
    <t>Address range</t>
  </si>
  <si>
    <t>Scope</t>
  </si>
  <si>
    <t>Description</t>
  </si>
  <si>
    <t>0.0.0.0/8</t>
  </si>
  <si>
    <t>0.0.0.0–0.255.255.255</t>
  </si>
  <si>
    <t>Software</t>
  </si>
  <si>
    <t>Current network[4] (only valid as source address).</t>
  </si>
  <si>
    <t>10.0.0.0/8</t>
  </si>
  <si>
    <t>10.0.0.0–10.255.255.255</t>
  </si>
  <si>
    <t>Private network</t>
  </si>
  <si>
    <t>Used for local communications within a private network.[5]</t>
  </si>
  <si>
    <t>100.64.0.0/10</t>
  </si>
  <si>
    <t>100.64.0.0–100.127.255.255</t>
  </si>
  <si>
    <t>Shared address space[6] for communications between a service provider and its subscribers when using a carrier-grade NAT.</t>
  </si>
  <si>
    <t>127.0.0.0/8</t>
  </si>
  <si>
    <t>127.0.0.0–127.255.255.255</t>
  </si>
  <si>
    <t>Host</t>
  </si>
  <si>
    <t>Used for loopback addresses to the local host.[4]</t>
  </si>
  <si>
    <t>169.254.0.0/16</t>
  </si>
  <si>
    <t>169.254.0.0–169.254.255.255</t>
  </si>
  <si>
    <t>Subnet</t>
  </si>
  <si>
    <t>Used for link-local addresses[7] between two hosts on a single link when no IP address is otherwise specified, such as would have normally been retrieved from a DHCP server.</t>
  </si>
  <si>
    <t>172.16.0.0/12</t>
  </si>
  <si>
    <t>172.16.0.0–172.31.255.255</t>
  </si>
  <si>
    <t>Used for local communications within a private network.[5]</t>
  </si>
  <si>
    <t>192.0.0.0/24</t>
  </si>
  <si>
    <t>192.0.0.0–192.0.0.255</t>
  </si>
  <si>
    <t>IETF Protocol Assignments.[4]</t>
  </si>
  <si>
    <t>192.0.2.0/24</t>
  </si>
  <si>
    <t>192.0.2.0–192.0.2.255</t>
  </si>
  <si>
    <t>Documentation</t>
  </si>
  <si>
    <t>Assigned as TEST-NET-1, documentation and examples.[8]</t>
  </si>
  <si>
    <t>192.88.99.0/24</t>
  </si>
  <si>
    <t>192.88.99.0–192.88.99.255</t>
  </si>
  <si>
    <t>Internet</t>
  </si>
  <si>
    <t>Reserved.[9] Formerly used for IPv6 to IPv4 relay[10] (included IPv6 address block 2002::/16).</t>
  </si>
  <si>
    <t>192.168.0.0/16</t>
  </si>
  <si>
    <t>192.168.0.0–192.168.255.255</t>
  </si>
  <si>
    <t>198.18.0.0/15</t>
  </si>
  <si>
    <t>198.18.0.0–198.19.255.255</t>
  </si>
  <si>
    <t>Used for benchmark testing of inter-network communications between two separate subnets.[11]</t>
  </si>
  <si>
    <t>198.51.100.0/24</t>
  </si>
  <si>
    <t>198.51.100.0–198.51.100.255</t>
  </si>
  <si>
    <t>Assigned as TEST-NET-2, documentation and examples.[8]</t>
  </si>
  <si>
    <t>203.0.113.0/24</t>
  </si>
  <si>
    <t>203.0.113.0–203.0.113.255</t>
  </si>
  <si>
    <t>Assigned as TEST-NET-3, documentation and examples.[8]</t>
  </si>
  <si>
    <t>224.0.0.0/4</t>
  </si>
  <si>
    <t>224.0.0.0–239.255.255.255</t>
  </si>
  <si>
    <t>In use for IP multicast.[12] (Former Class D network).</t>
  </si>
  <si>
    <t>240.0.0.0/4</t>
  </si>
  <si>
    <t>240.0.0.0–255.255.255.254</t>
  </si>
  <si>
    <t>Reserved for future use.[13] (Former Class E network).</t>
  </si>
  <si>
    <t>255.255.255.255/32</t>
  </si>
  <si>
    <t>255.255.255.255</t>
  </si>
  <si>
    <t>Reserved for the "limited broadcast" destination address.[4][14]</t>
  </si>
  <si>
    <t>* Credit Wikipedia</t>
  </si>
  <si>
    <t>CLASSES</t>
  </si>
  <si>
    <t>First address</t>
  </si>
  <si>
    <t>Last address</t>
  </si>
  <si>
    <t xml:space="preserve">Last address </t>
  </si>
  <si>
    <t>Class</t>
  </si>
  <si>
    <t>Fix bits</t>
  </si>
  <si>
    <t xml:space="preserve">     (binary notation)</t>
  </si>
  <si>
    <t xml:space="preserve">     (decimal notation)</t>
  </si>
  <si>
    <t>A</t>
  </si>
  <si>
    <t>B</t>
  </si>
  <si>
    <t>C</t>
  </si>
  <si>
    <t>D</t>
  </si>
  <si>
    <t>E</t>
  </si>
  <si>
    <t>https://www.computernetworkingnotes.com/networking-tutorials/ip-address-classes-explained-with-examples.html</t>
  </si>
  <si>
    <t>by: TopherTMG   version: 20240728-001</t>
  </si>
  <si>
    <t xml:space="preserve">Given an IP address and CIDR block on a network, this sheet will calculate the individual network it is on. </t>
  </si>
  <si>
    <t>no spaces for example 10.23.45.144/22</t>
  </si>
  <si>
    <t xml:space="preserve">Paste in list of individual IP addresses with CIDR block, </t>
  </si>
  <si>
    <t>CALCULATE THE NETWORK OF AN IP ADDRESS</t>
  </si>
  <si>
    <t>[] You should write a version that uses CIDR OR  SUBNET as input.</t>
  </si>
  <si>
    <t>&lt;---common</t>
  </si>
  <si>
    <t>&lt;---common 10.</t>
  </si>
  <si>
    <t>&lt;---common 172.</t>
  </si>
  <si>
    <t>&lt;---middle. 192.</t>
  </si>
  <si>
    <t>FIXED LENGTH 15 CHARACTER FOMATTING FOR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</si>
</sst>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2"/>
      <color theme="1"/>
      <name val="Wingdings 3"/>
      <family val="1"/>
      <charset val="2"/>
    </font>
    <font>
      <sz val="12"/>
      <color theme="3" tint="0.39997558519241921"/>
      <name val="Wingdings 3"/>
      <family val="1"/>
      <charset val="2"/>
    </font>
    <font>
      <sz val="11"/>
      <color theme="1"/>
      <name val="Courier New"/>
    </font>
    <font>
      <sz val="11"/>
      <color theme="9" tint="-0.249977111117893"/>
      <name val="Calibri"/>
      <family val="2"/>
      <scheme val="minor"/>
    </font>
    <font>
      <b/>
      <i/>
      <sz val="48"/>
      <color theme="9" tint="-0.249977111117893"/>
      <name val="Tahoma"/>
    </font>
    <font>
      <b/>
      <i/>
      <sz val="20"/>
      <color theme="9" tint="-0.249977111117893"/>
      <name val="Tahoma"/>
    </font>
    <font>
      <sz val="20"/>
      <color theme="9" tint="-0.249977111117893"/>
      <name val="Calibri"/>
      <family val="2"/>
      <scheme val="minor"/>
    </font>
    <font>
      <sz val="11"/>
      <color rgb="FFFF0000"/>
      <name val="Courier New"/>
      <family val="3"/>
    </font>
    <font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quotePrefix="1" applyFill="1"/>
    <xf numFmtId="0" fontId="0" fillId="6" borderId="0" xfId="0" applyFill="1"/>
    <xf numFmtId="3" fontId="0" fillId="0" borderId="0" xfId="0" applyNumberFormat="1" applyAlignment="1">
      <alignment horizontal="center"/>
    </xf>
    <xf numFmtId="0" fontId="1" fillId="0" borderId="0" xfId="0" applyFont="1"/>
    <xf numFmtId="3" fontId="0" fillId="6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2" fillId="7" borderId="0" xfId="0" applyFont="1" applyFill="1"/>
    <xf numFmtId="0" fontId="2" fillId="7" borderId="0" xfId="0" quotePrefix="1" applyFont="1" applyFill="1"/>
    <xf numFmtId="3" fontId="2" fillId="6" borderId="0" xfId="0" applyNumberFormat="1" applyFont="1" applyFill="1"/>
    <xf numFmtId="0" fontId="2" fillId="6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8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 vertical="top" wrapText="1"/>
    </xf>
    <xf numFmtId="3" fontId="2" fillId="3" borderId="0" xfId="0" applyNumberFormat="1" applyFont="1" applyFill="1" applyAlignment="1">
      <alignment horizontal="center"/>
    </xf>
    <xf numFmtId="0" fontId="2" fillId="5" borderId="0" xfId="0" applyFont="1" applyFill="1"/>
    <xf numFmtId="0" fontId="2" fillId="3" borderId="0" xfId="0" applyFont="1" applyFill="1" applyAlignment="1">
      <alignment horizontal="center" vertical="top"/>
    </xf>
    <xf numFmtId="0" fontId="2" fillId="4" borderId="0" xfId="0" applyFont="1" applyFill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9" borderId="0" xfId="0" quotePrefix="1" applyFont="1" applyFill="1" applyAlignment="1">
      <alignment horizontal="center"/>
    </xf>
    <xf numFmtId="0" fontId="2" fillId="9" borderId="0" xfId="0" quotePrefix="1" applyFont="1" applyFill="1"/>
    <xf numFmtId="0" fontId="4" fillId="0" borderId="0" xfId="0" quotePrefix="1" applyFont="1" applyAlignment="1">
      <alignment horizontal="left" vertical="top"/>
    </xf>
    <xf numFmtId="0" fontId="0" fillId="10" borderId="0" xfId="0" applyFill="1"/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7" fillId="0" borderId="0" xfId="0" applyFont="1"/>
    <xf numFmtId="0" fontId="0" fillId="6" borderId="0" xfId="0" applyFill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49" fontId="2" fillId="3" borderId="0" xfId="0" applyNumberFormat="1" applyFont="1" applyFill="1" applyAlignment="1">
      <alignment horizontal="center" vertical="top"/>
    </xf>
    <xf numFmtId="0" fontId="8" fillId="0" borderId="0" xfId="0" applyFont="1"/>
    <xf numFmtId="0" fontId="8" fillId="6" borderId="0" xfId="0" applyFont="1" applyFill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0" fillId="0" borderId="0" xfId="0" applyFont="1"/>
    <xf numFmtId="0" fontId="9" fillId="0" borderId="6" xfId="0" applyFont="1" applyBorder="1"/>
    <xf numFmtId="0" fontId="11" fillId="0" borderId="0" xfId="0" applyFont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2" fillId="0" borderId="0" xfId="0" applyFont="1"/>
    <xf numFmtId="16" fontId="2" fillId="9" borderId="0" xfId="0" quotePrefix="1" applyNumberFormat="1" applyFont="1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9" fillId="0" borderId="0" xfId="0" quotePrefix="1" applyFont="1"/>
    <xf numFmtId="0" fontId="12" fillId="0" borderId="0" xfId="0" applyFont="1" applyAlignment="1">
      <alignment horizontal="left" vertical="top"/>
    </xf>
    <xf numFmtId="0" fontId="13" fillId="0" borderId="0" xfId="0" applyFont="1"/>
    <xf numFmtId="3" fontId="0" fillId="0" borderId="0" xfId="0" quotePrefix="1" applyNumberFormat="1" applyAlignment="1">
      <alignment horizontal="left"/>
    </xf>
    <xf numFmtId="0" fontId="1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showGridLines="0" workbookViewId="0">
      <selection activeCell="F15" sqref="F15"/>
    </sheetView>
  </sheetViews>
  <sheetFormatPr defaultRowHeight="15" x14ac:dyDescent="0.25"/>
  <sheetData>
    <row r="1" spans="1:16" ht="26.25" x14ac:dyDescent="0.4">
      <c r="A1" s="7"/>
      <c r="B1" s="7"/>
    </row>
    <row r="3" spans="1:16" ht="15.75" thickBot="1" x14ac:dyDescent="0.3"/>
    <row r="4" spans="1:16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</row>
    <row r="5" spans="1:16" ht="58.5" x14ac:dyDescent="0.7">
      <c r="B5" s="47"/>
      <c r="C5" s="48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9"/>
    </row>
    <row r="6" spans="1:16" ht="25.5" x14ac:dyDescent="0.35">
      <c r="B6" s="47"/>
      <c r="C6" s="43"/>
      <c r="D6" s="43"/>
      <c r="E6" s="43"/>
      <c r="F6" s="43"/>
      <c r="G6" s="43"/>
      <c r="H6" s="43"/>
      <c r="I6" s="43"/>
      <c r="J6" s="43"/>
      <c r="K6" s="43"/>
      <c r="L6" s="50" t="s">
        <v>1</v>
      </c>
      <c r="M6" s="43"/>
      <c r="N6" s="43"/>
      <c r="O6" s="43"/>
      <c r="P6" s="49"/>
    </row>
    <row r="7" spans="1:16" x14ac:dyDescent="0.25">
      <c r="B7" s="47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9"/>
    </row>
    <row r="8" spans="1:16" x14ac:dyDescent="0.25">
      <c r="B8" s="47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9"/>
    </row>
    <row r="9" spans="1:16" ht="15.75" thickBot="1" x14ac:dyDescent="0.3">
      <c r="B9" s="51"/>
      <c r="C9" s="52" t="s">
        <v>127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</row>
    <row r="12" spans="1:16" ht="15.75" x14ac:dyDescent="0.25">
      <c r="B12" s="43" t="s">
        <v>2</v>
      </c>
      <c r="C12" s="43"/>
      <c r="D12" s="34"/>
    </row>
    <row r="13" spans="1:16" ht="15.75" x14ac:dyDescent="0.25">
      <c r="B13" s="32"/>
      <c r="C13" s="35" t="s">
        <v>3</v>
      </c>
      <c r="D13" s="34"/>
    </row>
    <row r="14" spans="1:16" x14ac:dyDescent="0.25">
      <c r="B14" s="32"/>
      <c r="C14" s="33"/>
    </row>
    <row r="15" spans="1:16" x14ac:dyDescent="0.25">
      <c r="B15" s="32"/>
      <c r="C15" s="32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22"/>
  <sheetViews>
    <sheetView zoomScaleNormal="100" workbookViewId="0">
      <selection activeCell="B21" sqref="B21"/>
    </sheetView>
  </sheetViews>
  <sheetFormatPr defaultRowHeight="15" x14ac:dyDescent="0.25"/>
  <cols>
    <col min="1" max="1" width="4.42578125" customWidth="1"/>
    <col min="2" max="2" width="28.7109375" customWidth="1"/>
    <col min="3" max="3" width="25.28515625" customWidth="1"/>
    <col min="4" max="8" width="4.5703125" customWidth="1"/>
    <col min="9" max="9" width="9.140625" style="15" bestFit="1" customWidth="1"/>
    <col min="10" max="10" width="8.42578125" style="15" bestFit="1" customWidth="1"/>
    <col min="11" max="11" width="9.140625" style="15" bestFit="1" customWidth="1"/>
    <col min="12" max="12" width="8.42578125" style="15" bestFit="1" customWidth="1"/>
    <col min="13" max="13" width="9.140625" style="15" bestFit="1" customWidth="1"/>
    <col min="14" max="14" width="8.42578125" style="15" bestFit="1" customWidth="1"/>
    <col min="15" max="15" width="9.140625" style="15" bestFit="1" customWidth="1"/>
    <col min="16" max="17" width="8.42578125" style="15" bestFit="1" customWidth="1"/>
    <col min="18" max="18" width="15.140625" style="16" customWidth="1"/>
    <col min="19" max="19" width="10" style="16" bestFit="1" customWidth="1"/>
    <col min="20" max="20" width="8.42578125" style="15" bestFit="1" customWidth="1"/>
    <col min="21" max="21" width="9" style="15" bestFit="1" customWidth="1"/>
    <col min="22" max="22" width="8.42578125" style="15" bestFit="1" customWidth="1"/>
    <col min="23" max="23" width="9" style="15" bestFit="1" customWidth="1"/>
    <col min="24" max="24" width="8.42578125" style="15" bestFit="1" customWidth="1"/>
    <col min="25" max="25" width="9" style="15" bestFit="1" customWidth="1"/>
    <col min="26" max="26" width="9.140625" style="15" bestFit="1" customWidth="1"/>
    <col min="27" max="27" width="9" style="15" bestFit="1" customWidth="1"/>
    <col min="28" max="28" width="13.28515625" style="16" customWidth="1"/>
    <col min="29" max="35" width="8.42578125" style="16" bestFit="1" customWidth="1"/>
    <col min="36" max="36" width="9.140625" style="15" bestFit="1" customWidth="1"/>
    <col min="37" max="45" width="8.42578125" style="15" bestFit="1" customWidth="1"/>
    <col min="46" max="46" width="9.140625" style="15" bestFit="1" customWidth="1"/>
    <col min="47" max="55" width="8.42578125" style="15" bestFit="1" customWidth="1"/>
    <col min="56" max="56" width="9.140625" style="15" bestFit="1" customWidth="1"/>
    <col min="57" max="65" width="8.42578125" style="15" bestFit="1" customWidth="1"/>
    <col min="66" max="66" width="9.140625" style="15" bestFit="1" customWidth="1"/>
    <col min="67" max="67" width="8.42578125" style="15" bestFit="1" customWidth="1"/>
    <col min="68" max="68" width="18.7109375" customWidth="1"/>
  </cols>
  <sheetData>
    <row r="1" spans="1:67" ht="26.25" x14ac:dyDescent="0.4">
      <c r="A1" s="54" t="s">
        <v>131</v>
      </c>
    </row>
    <row r="2" spans="1:67" x14ac:dyDescent="0.25">
      <c r="A2" s="43" t="s">
        <v>128</v>
      </c>
    </row>
    <row r="5" spans="1:67" x14ac:dyDescent="0.25">
      <c r="B5" s="3" t="s">
        <v>130</v>
      </c>
      <c r="C5" s="3"/>
    </row>
    <row r="6" spans="1:67" x14ac:dyDescent="0.25">
      <c r="B6" s="3" t="s">
        <v>129</v>
      </c>
      <c r="C6" s="3"/>
    </row>
    <row r="7" spans="1:67" x14ac:dyDescent="0.25">
      <c r="B7" s="4" t="s">
        <v>4</v>
      </c>
      <c r="C7" s="3"/>
    </row>
    <row r="8" spans="1:67" x14ac:dyDescent="0.25">
      <c r="B8" s="4" t="s">
        <v>5</v>
      </c>
      <c r="C8" s="57"/>
      <c r="I8" s="55" t="s">
        <v>6</v>
      </c>
      <c r="J8" s="26"/>
      <c r="K8" s="55" t="s">
        <v>7</v>
      </c>
      <c r="L8" s="26"/>
      <c r="M8" s="55" t="s">
        <v>8</v>
      </c>
      <c r="N8" s="26"/>
      <c r="O8" s="55" t="s">
        <v>9</v>
      </c>
      <c r="P8" s="26"/>
      <c r="Q8" s="55" t="s">
        <v>10</v>
      </c>
      <c r="R8" s="27"/>
      <c r="S8" s="27"/>
      <c r="T8" s="26"/>
      <c r="U8" s="26" t="s">
        <v>11</v>
      </c>
      <c r="V8" s="26"/>
      <c r="W8" s="26" t="s">
        <v>12</v>
      </c>
      <c r="X8" s="26"/>
      <c r="Y8" s="26" t="s">
        <v>13</v>
      </c>
      <c r="Z8" s="26"/>
      <c r="AA8" s="26" t="s">
        <v>14</v>
      </c>
      <c r="AB8" s="28" t="s">
        <v>15</v>
      </c>
      <c r="AC8" s="27"/>
      <c r="AD8" s="27"/>
      <c r="AE8" s="27"/>
      <c r="AF8" s="27"/>
      <c r="AG8" s="27"/>
      <c r="AH8" s="27"/>
      <c r="AI8" s="27" t="s">
        <v>16</v>
      </c>
      <c r="AJ8" s="26"/>
      <c r="AK8" s="26"/>
      <c r="AL8" s="28" t="s">
        <v>17</v>
      </c>
      <c r="AM8" s="27"/>
      <c r="AN8" s="27"/>
      <c r="AO8" s="27"/>
      <c r="AP8" s="27"/>
      <c r="AQ8" s="27"/>
      <c r="AR8" s="27"/>
      <c r="AS8" s="28" t="s">
        <v>18</v>
      </c>
      <c r="AT8" s="26"/>
      <c r="AU8" s="26"/>
      <c r="AV8" s="28" t="s">
        <v>19</v>
      </c>
      <c r="AW8" s="27"/>
      <c r="AX8" s="27"/>
      <c r="AY8" s="27"/>
      <c r="AZ8" s="27"/>
      <c r="BA8" s="27"/>
      <c r="BB8" s="27"/>
      <c r="BC8" s="28" t="s">
        <v>20</v>
      </c>
      <c r="BD8" s="26"/>
      <c r="BE8" s="26"/>
      <c r="BF8" s="28" t="s">
        <v>21</v>
      </c>
      <c r="BG8" s="27"/>
      <c r="BH8" s="27"/>
      <c r="BI8" s="27"/>
      <c r="BJ8" s="27"/>
      <c r="BK8" s="27"/>
      <c r="BL8" s="27"/>
      <c r="BM8" s="28" t="s">
        <v>22</v>
      </c>
      <c r="BN8" s="26"/>
      <c r="BO8" s="26"/>
    </row>
    <row r="9" spans="1:67" x14ac:dyDescent="0.25">
      <c r="B9" s="3" t="s">
        <v>23</v>
      </c>
      <c r="C9" s="57" t="s">
        <v>24</v>
      </c>
      <c r="I9" s="27" t="s">
        <v>25</v>
      </c>
      <c r="J9" s="28" t="s">
        <v>26</v>
      </c>
      <c r="K9" s="27" t="s">
        <v>25</v>
      </c>
      <c r="L9" s="28" t="s">
        <v>26</v>
      </c>
      <c r="M9" s="27" t="s">
        <v>25</v>
      </c>
      <c r="N9" s="28" t="s">
        <v>26</v>
      </c>
      <c r="O9" s="27" t="s">
        <v>25</v>
      </c>
      <c r="P9" s="28" t="s">
        <v>27</v>
      </c>
      <c r="Q9" s="27" t="s">
        <v>28</v>
      </c>
      <c r="R9" s="27" t="s">
        <v>29</v>
      </c>
      <c r="S9" s="27" t="s">
        <v>30</v>
      </c>
      <c r="T9" s="26"/>
      <c r="U9" s="26"/>
      <c r="V9" s="26"/>
      <c r="W9" s="26"/>
      <c r="X9" s="26"/>
      <c r="Y9" s="26"/>
      <c r="Z9" s="29" t="s">
        <v>31</v>
      </c>
      <c r="AA9" s="29" t="s">
        <v>32</v>
      </c>
      <c r="AB9" s="27">
        <v>1</v>
      </c>
      <c r="AC9" s="27">
        <v>2</v>
      </c>
      <c r="AD9" s="27">
        <v>3</v>
      </c>
      <c r="AE9" s="27">
        <v>4</v>
      </c>
      <c r="AF9" s="27">
        <v>5</v>
      </c>
      <c r="AG9" s="27">
        <v>6</v>
      </c>
      <c r="AH9" s="27">
        <v>7</v>
      </c>
      <c r="AI9" s="27">
        <v>8</v>
      </c>
      <c r="AJ9" s="26"/>
      <c r="AK9" s="26"/>
      <c r="AL9" s="27">
        <v>1</v>
      </c>
      <c r="AM9" s="27">
        <v>2</v>
      </c>
      <c r="AN9" s="27">
        <v>3</v>
      </c>
      <c r="AO9" s="27">
        <v>4</v>
      </c>
      <c r="AP9" s="27">
        <v>5</v>
      </c>
      <c r="AQ9" s="27">
        <v>6</v>
      </c>
      <c r="AR9" s="27">
        <v>7</v>
      </c>
      <c r="AS9" s="27">
        <v>8</v>
      </c>
      <c r="AT9" s="26"/>
      <c r="AU9" s="26"/>
      <c r="AV9" s="27">
        <v>1</v>
      </c>
      <c r="AW9" s="27">
        <v>2</v>
      </c>
      <c r="AX9" s="27">
        <v>3</v>
      </c>
      <c r="AY9" s="27">
        <v>4</v>
      </c>
      <c r="AZ9" s="27">
        <v>5</v>
      </c>
      <c r="BA9" s="27">
        <v>6</v>
      </c>
      <c r="BB9" s="27">
        <v>7</v>
      </c>
      <c r="BC9" s="27">
        <v>8</v>
      </c>
      <c r="BD9" s="26"/>
      <c r="BE9" s="26"/>
      <c r="BF9" s="27">
        <v>1</v>
      </c>
      <c r="BG9" s="27">
        <v>2</v>
      </c>
      <c r="BH9" s="27">
        <v>3</v>
      </c>
      <c r="BI9" s="27">
        <v>4</v>
      </c>
      <c r="BJ9" s="27">
        <v>5</v>
      </c>
      <c r="BK9" s="27">
        <v>6</v>
      </c>
      <c r="BL9" s="27">
        <v>7</v>
      </c>
      <c r="BM9" s="27">
        <v>8</v>
      </c>
      <c r="BN9" s="26"/>
      <c r="BO9" s="26"/>
    </row>
    <row r="10" spans="1:67" x14ac:dyDescent="0.25">
      <c r="B10" s="41" t="s">
        <v>33</v>
      </c>
      <c r="C10" s="42" t="str">
        <f t="shared" ref="C10:C11" si="0">AK10&amp;"."&amp;AU10&amp;"."&amp;BE10&amp;"."&amp;BO10&amp;"/"&amp;Q10</f>
        <v>10.45.55.0/24</v>
      </c>
      <c r="I10" s="56" t="str">
        <f>DEC2BIN(MID($B10,1,J10-1),8)</f>
        <v>00001010</v>
      </c>
      <c r="J10" s="56">
        <f>FIND(".",$B10,1)</f>
        <v>3</v>
      </c>
      <c r="K10" s="56" t="str">
        <f t="shared" ref="K10:K18" si="1">DEC2BIN(MID($B10,$J10+1,$L10-$J10-1),8)</f>
        <v>00101101</v>
      </c>
      <c r="L10" s="56">
        <f>FIND(".",$B10,J10+1)</f>
        <v>6</v>
      </c>
      <c r="M10" s="56" t="str">
        <f t="shared" ref="M10:M18" si="2">DEC2BIN(MID($B10,$L10+1,$N10-$L10-1),8)</f>
        <v>00110111</v>
      </c>
      <c r="N10" s="56">
        <f t="shared" ref="N10:N18" si="3">FIND(".",$B10,$L10+1)</f>
        <v>9</v>
      </c>
      <c r="O10" s="56" t="str">
        <f t="shared" ref="O10:O18" si="4">DEC2BIN(MID($B10,$N10+1,$P10-$N10-1),8)</f>
        <v>11111110</v>
      </c>
      <c r="P10" s="56">
        <f t="shared" ref="P10:P18" si="5">FIND("/",$B10,$L10+1)</f>
        <v>13</v>
      </c>
      <c r="Q10" s="56" t="str">
        <f t="shared" ref="Q10:Q18" si="6">MID($B10,$P10+1,3)</f>
        <v>24</v>
      </c>
      <c r="R10" s="22">
        <f>(2^Q10)-2</f>
        <v>16777214</v>
      </c>
      <c r="S10" s="22">
        <f>(2^(32-Q10))-2</f>
        <v>254</v>
      </c>
      <c r="T10" s="23" t="str">
        <f>Q10</f>
        <v>24</v>
      </c>
      <c r="U10" s="23" t="str">
        <f t="shared" ref="U10:U11" si="7">IFERROR(IF(8-T10&lt;1,MID($Z$9,1,T10),MID($Z$9,1,T10)&amp;MID($AA$9,1,8-T10)),"00000000")</f>
        <v>11111111</v>
      </c>
      <c r="V10" s="23">
        <f>T10-8</f>
        <v>16</v>
      </c>
      <c r="W10" s="23" t="str">
        <f t="shared" ref="W10:W11" si="8">IFERROR(IF(8-V10&lt;1,MID($Z$9,1,V10),MID($Z$9,1,V10)&amp;MID($AA$9,1,8-V10)),"00000000")</f>
        <v>11111111</v>
      </c>
      <c r="X10" s="23">
        <f>V10-8</f>
        <v>8</v>
      </c>
      <c r="Y10" s="23" t="str">
        <f t="shared" ref="Y10:Y11" si="9">IFERROR(IF(8-X10&lt;1,MID($Z$9,1,X10),MID($Z$9,1,X10)&amp;MID($AA$9,1,8-X10)),"00000000")</f>
        <v>11111111</v>
      </c>
      <c r="Z10" s="23">
        <f>X10-8</f>
        <v>0</v>
      </c>
      <c r="AA10" s="23" t="str">
        <f t="shared" ref="AA10:AA11" si="10">IFERROR(IF(8-Z10&lt;1,MID($Z$9,1,Z10),MID($Z$9,1,Z10)&amp;MID($AA$9,1,8-Z10)),"00000000")</f>
        <v>00000000</v>
      </c>
      <c r="AB10" s="40" t="str">
        <f>IF(AND(MID($U10,AB$9,1)="1",MID($I10,AB$9,1)="1"),"1","0")</f>
        <v>0</v>
      </c>
      <c r="AC10" s="40" t="str">
        <f>IF(AND(MID($U10,AC$9,1)="1",MID($I10,AC$9,1)="1"),"1","0")</f>
        <v>0</v>
      </c>
      <c r="AD10" s="40" t="str">
        <f t="shared" ref="AB10:AI18" si="11">IF(AND(MID($U10,AD$9,1)="1",MID($I10,AD$9,1)="1"),"1","0")</f>
        <v>0</v>
      </c>
      <c r="AE10" s="40" t="str">
        <f t="shared" si="11"/>
        <v>0</v>
      </c>
      <c r="AF10" s="40" t="str">
        <f t="shared" si="11"/>
        <v>1</v>
      </c>
      <c r="AG10" s="40" t="str">
        <f t="shared" si="11"/>
        <v>0</v>
      </c>
      <c r="AH10" s="40" t="str">
        <f t="shared" si="11"/>
        <v>1</v>
      </c>
      <c r="AI10" s="40" t="str">
        <f t="shared" si="11"/>
        <v>0</v>
      </c>
      <c r="AJ10" s="25" t="str">
        <f>_xlfn.CONCAT(AB10:AI10)</f>
        <v>00001010</v>
      </c>
      <c r="AK10" s="25">
        <f>BIN2DEC(AJ10)</f>
        <v>10</v>
      </c>
      <c r="AL10" s="24" t="str">
        <f t="shared" ref="AL10:AS18" si="12">IF(AND(MID($W10,AL$9,1)="1",MID($K10,AL$9,1)="1"),"1","0")</f>
        <v>0</v>
      </c>
      <c r="AM10" s="24" t="str">
        <f t="shared" si="12"/>
        <v>0</v>
      </c>
      <c r="AN10" s="24" t="str">
        <f t="shared" si="12"/>
        <v>1</v>
      </c>
      <c r="AO10" s="24" t="str">
        <f t="shared" si="12"/>
        <v>0</v>
      </c>
      <c r="AP10" s="24" t="str">
        <f t="shared" si="12"/>
        <v>1</v>
      </c>
      <c r="AQ10" s="24" t="str">
        <f t="shared" si="12"/>
        <v>1</v>
      </c>
      <c r="AR10" s="24" t="str">
        <f t="shared" si="12"/>
        <v>0</v>
      </c>
      <c r="AS10" s="24" t="str">
        <f t="shared" si="12"/>
        <v>1</v>
      </c>
      <c r="AT10" s="25" t="str">
        <f t="shared" ref="AT10:AT11" si="13">_xlfn.CONCAT(AL10:AS10)</f>
        <v>00101101</v>
      </c>
      <c r="AU10" s="25">
        <f>BIN2DEC(AT10)</f>
        <v>45</v>
      </c>
      <c r="AV10" s="24" t="str">
        <f t="shared" ref="AV10:BC18" si="14">IF(AND(MID($Y10,AV$9,1)="1",MID($M10,AV$9,1)="1"),"1","0")</f>
        <v>0</v>
      </c>
      <c r="AW10" s="24" t="str">
        <f t="shared" si="14"/>
        <v>0</v>
      </c>
      <c r="AX10" s="24" t="str">
        <f t="shared" si="14"/>
        <v>1</v>
      </c>
      <c r="AY10" s="24" t="str">
        <f t="shared" si="14"/>
        <v>1</v>
      </c>
      <c r="AZ10" s="24" t="str">
        <f t="shared" si="14"/>
        <v>0</v>
      </c>
      <c r="BA10" s="24" t="str">
        <f t="shared" si="14"/>
        <v>1</v>
      </c>
      <c r="BB10" s="24" t="str">
        <f t="shared" si="14"/>
        <v>1</v>
      </c>
      <c r="BC10" s="24" t="str">
        <f t="shared" si="14"/>
        <v>1</v>
      </c>
      <c r="BD10" s="25" t="str">
        <f>_xlfn.CONCAT(AV10:BC10)</f>
        <v>00110111</v>
      </c>
      <c r="BE10" s="25">
        <f>BIN2DEC(BD10)</f>
        <v>55</v>
      </c>
      <c r="BF10" s="24" t="str">
        <f t="shared" ref="BF10:BM18" si="15">IF(AND(MID($AA10,BF$9,1)="1",MID($O10,BF$9,1)="1"),"1","0")</f>
        <v>0</v>
      </c>
      <c r="BG10" s="24" t="str">
        <f t="shared" si="15"/>
        <v>0</v>
      </c>
      <c r="BH10" s="24" t="str">
        <f t="shared" si="15"/>
        <v>0</v>
      </c>
      <c r="BI10" s="24" t="str">
        <f t="shared" si="15"/>
        <v>0</v>
      </c>
      <c r="BJ10" s="24" t="str">
        <f t="shared" si="15"/>
        <v>0</v>
      </c>
      <c r="BK10" s="24" t="str">
        <f t="shared" si="15"/>
        <v>0</v>
      </c>
      <c r="BL10" s="24" t="str">
        <f t="shared" si="15"/>
        <v>0</v>
      </c>
      <c r="BM10" s="24" t="str">
        <f t="shared" si="15"/>
        <v>0</v>
      </c>
      <c r="BN10" s="25" t="str">
        <f>_xlfn.CONCAT(BF10:BM10)</f>
        <v>00000000</v>
      </c>
      <c r="BO10" s="25">
        <f>BIN2DEC(BN10)</f>
        <v>0</v>
      </c>
    </row>
    <row r="11" spans="1:67" x14ac:dyDescent="0.25">
      <c r="B11" s="41" t="s">
        <v>34</v>
      </c>
      <c r="C11" s="42" t="str">
        <f t="shared" si="0"/>
        <v>10.255.161.8/30</v>
      </c>
      <c r="I11" s="56" t="str">
        <f t="shared" ref="I11" si="16">DEC2BIN(MID($B11,1,J11-1),8)</f>
        <v>00001010</v>
      </c>
      <c r="J11" s="56">
        <f t="shared" ref="J11:J18" si="17">FIND(".",$B11,1)</f>
        <v>3</v>
      </c>
      <c r="K11" s="56" t="str">
        <f t="shared" si="1"/>
        <v>11111111</v>
      </c>
      <c r="L11" s="56">
        <f t="shared" ref="L11" si="18">FIND(".",$B11,J11+1)</f>
        <v>7</v>
      </c>
      <c r="M11" s="56" t="str">
        <f t="shared" si="2"/>
        <v>10100001</v>
      </c>
      <c r="N11" s="56">
        <f t="shared" si="3"/>
        <v>11</v>
      </c>
      <c r="O11" s="56" t="str">
        <f t="shared" si="4"/>
        <v>00001010</v>
      </c>
      <c r="P11" s="56">
        <f t="shared" si="5"/>
        <v>14</v>
      </c>
      <c r="Q11" s="56" t="str">
        <f t="shared" si="6"/>
        <v>30</v>
      </c>
      <c r="R11" s="22">
        <f t="shared" ref="R11" si="19">(2^Q11)-2</f>
        <v>1073741822</v>
      </c>
      <c r="S11" s="22">
        <f t="shared" ref="S11" si="20">(2^(32-Q11))-2</f>
        <v>2</v>
      </c>
      <c r="T11" s="23" t="str">
        <f t="shared" ref="T11" si="21">Q11</f>
        <v>30</v>
      </c>
      <c r="U11" s="23" t="str">
        <f t="shared" si="7"/>
        <v>11111111</v>
      </c>
      <c r="V11" s="23">
        <f t="shared" ref="V11" si="22">T11-8</f>
        <v>22</v>
      </c>
      <c r="W11" s="23" t="str">
        <f t="shared" si="8"/>
        <v>11111111</v>
      </c>
      <c r="X11" s="23">
        <f t="shared" ref="X11" si="23">V11-8</f>
        <v>14</v>
      </c>
      <c r="Y11" s="23" t="str">
        <f t="shared" si="9"/>
        <v>11111111</v>
      </c>
      <c r="Z11" s="23">
        <f t="shared" ref="Z11" si="24">X11-8</f>
        <v>6</v>
      </c>
      <c r="AA11" s="23" t="str">
        <f t="shared" si="10"/>
        <v>11111100</v>
      </c>
      <c r="AB11" s="24" t="str">
        <f t="shared" si="11"/>
        <v>0</v>
      </c>
      <c r="AC11" s="24" t="str">
        <f t="shared" si="11"/>
        <v>0</v>
      </c>
      <c r="AD11" s="24" t="str">
        <f t="shared" si="11"/>
        <v>0</v>
      </c>
      <c r="AE11" s="24" t="str">
        <f t="shared" si="11"/>
        <v>0</v>
      </c>
      <c r="AF11" s="24" t="str">
        <f t="shared" si="11"/>
        <v>1</v>
      </c>
      <c r="AG11" s="24" t="str">
        <f t="shared" si="11"/>
        <v>0</v>
      </c>
      <c r="AH11" s="24" t="str">
        <f t="shared" si="11"/>
        <v>1</v>
      </c>
      <c r="AI11" s="24" t="str">
        <f t="shared" si="11"/>
        <v>0</v>
      </c>
      <c r="AJ11" s="25" t="str">
        <f t="shared" ref="AJ11:AJ18" si="25">_xlfn.CONCAT(AB11:AI11)</f>
        <v>00001010</v>
      </c>
      <c r="AK11" s="25">
        <f t="shared" ref="AK11" si="26">BIN2DEC(AJ11)</f>
        <v>10</v>
      </c>
      <c r="AL11" s="24" t="str">
        <f t="shared" si="12"/>
        <v>1</v>
      </c>
      <c r="AM11" s="24" t="str">
        <f t="shared" si="12"/>
        <v>1</v>
      </c>
      <c r="AN11" s="24" t="str">
        <f t="shared" si="12"/>
        <v>1</v>
      </c>
      <c r="AO11" s="24" t="str">
        <f t="shared" si="12"/>
        <v>1</v>
      </c>
      <c r="AP11" s="24" t="str">
        <f t="shared" si="12"/>
        <v>1</v>
      </c>
      <c r="AQ11" s="24" t="str">
        <f t="shared" si="12"/>
        <v>1</v>
      </c>
      <c r="AR11" s="24" t="str">
        <f t="shared" si="12"/>
        <v>1</v>
      </c>
      <c r="AS11" s="24" t="str">
        <f t="shared" si="12"/>
        <v>1</v>
      </c>
      <c r="AT11" s="25" t="str">
        <f t="shared" si="13"/>
        <v>11111111</v>
      </c>
      <c r="AU11" s="25">
        <f t="shared" ref="AU11" si="27">BIN2DEC(AT11)</f>
        <v>255</v>
      </c>
      <c r="AV11" s="24" t="str">
        <f t="shared" si="14"/>
        <v>1</v>
      </c>
      <c r="AW11" s="24" t="str">
        <f t="shared" si="14"/>
        <v>0</v>
      </c>
      <c r="AX11" s="24" t="str">
        <f t="shared" si="14"/>
        <v>1</v>
      </c>
      <c r="AY11" s="24" t="str">
        <f t="shared" si="14"/>
        <v>0</v>
      </c>
      <c r="AZ11" s="24" t="str">
        <f t="shared" si="14"/>
        <v>0</v>
      </c>
      <c r="BA11" s="24" t="str">
        <f t="shared" si="14"/>
        <v>0</v>
      </c>
      <c r="BB11" s="24" t="str">
        <f t="shared" si="14"/>
        <v>0</v>
      </c>
      <c r="BC11" s="24" t="str">
        <f t="shared" si="14"/>
        <v>1</v>
      </c>
      <c r="BD11" s="25" t="str">
        <f t="shared" ref="BD11" si="28">_xlfn.CONCAT(AV11:BC11)</f>
        <v>10100001</v>
      </c>
      <c r="BE11" s="25">
        <f t="shared" ref="BE11" si="29">BIN2DEC(BD11)</f>
        <v>161</v>
      </c>
      <c r="BF11" s="24" t="str">
        <f t="shared" si="15"/>
        <v>0</v>
      </c>
      <c r="BG11" s="24" t="str">
        <f t="shared" si="15"/>
        <v>0</v>
      </c>
      <c r="BH11" s="24" t="str">
        <f t="shared" si="15"/>
        <v>0</v>
      </c>
      <c r="BI11" s="24" t="str">
        <f t="shared" si="15"/>
        <v>0</v>
      </c>
      <c r="BJ11" s="24" t="str">
        <f t="shared" si="15"/>
        <v>1</v>
      </c>
      <c r="BK11" s="24" t="str">
        <f t="shared" si="15"/>
        <v>0</v>
      </c>
      <c r="BL11" s="24" t="str">
        <f t="shared" si="15"/>
        <v>0</v>
      </c>
      <c r="BM11" s="24" t="str">
        <f t="shared" si="15"/>
        <v>0</v>
      </c>
      <c r="BN11" s="25" t="str">
        <f t="shared" ref="BN11" si="30">_xlfn.CONCAT(BF11:BM11)</f>
        <v>00001000</v>
      </c>
      <c r="BO11" s="25">
        <f t="shared" ref="BO11" si="31">BIN2DEC(BN11)</f>
        <v>8</v>
      </c>
    </row>
    <row r="12" spans="1:67" x14ac:dyDescent="0.25">
      <c r="B12" s="41" t="s">
        <v>35</v>
      </c>
      <c r="C12" s="42" t="str">
        <f t="shared" ref="C12:C13" si="32">AK12&amp;"."&amp;AU12&amp;"."&amp;BE12&amp;"."&amp;BO12&amp;"/"&amp;Q12</f>
        <v>10.239.255.128/29</v>
      </c>
      <c r="I12" s="56" t="str">
        <f t="shared" ref="I12:I13" si="33">DEC2BIN(MID($B12,1,J12-1),8)</f>
        <v>00001010</v>
      </c>
      <c r="J12" s="56">
        <f t="shared" si="17"/>
        <v>3</v>
      </c>
      <c r="K12" s="56" t="str">
        <f t="shared" si="1"/>
        <v>11101111</v>
      </c>
      <c r="L12" s="56">
        <f t="shared" ref="L12:L13" si="34">FIND(".",$B12,J12+1)</f>
        <v>7</v>
      </c>
      <c r="M12" s="56" t="str">
        <f t="shared" si="2"/>
        <v>11111111</v>
      </c>
      <c r="N12" s="56">
        <f t="shared" si="3"/>
        <v>11</v>
      </c>
      <c r="O12" s="56" t="str">
        <f t="shared" si="4"/>
        <v>10000110</v>
      </c>
      <c r="P12" s="56">
        <f t="shared" si="5"/>
        <v>15</v>
      </c>
      <c r="Q12" s="56" t="str">
        <f t="shared" si="6"/>
        <v>29</v>
      </c>
      <c r="R12" s="22">
        <f t="shared" ref="R12:R13" si="35">(2^Q12)-2</f>
        <v>536870910</v>
      </c>
      <c r="S12" s="22">
        <f t="shared" ref="S12:S13" si="36">(2^(32-Q12))-2</f>
        <v>6</v>
      </c>
      <c r="T12" s="23" t="str">
        <f t="shared" ref="T12:T13" si="37">Q12</f>
        <v>29</v>
      </c>
      <c r="U12" s="23" t="str">
        <f t="shared" ref="U12:U13" si="38">IFERROR(IF(8-T12&lt;1,MID($Z$9,1,T12),MID($Z$9,1,T12)&amp;MID($AA$9,1,8-T12)),"00000000")</f>
        <v>11111111</v>
      </c>
      <c r="V12" s="23">
        <f t="shared" ref="V12:V13" si="39">T12-8</f>
        <v>21</v>
      </c>
      <c r="W12" s="23" t="str">
        <f t="shared" ref="W12:W13" si="40">IFERROR(IF(8-V12&lt;1,MID($Z$9,1,V12),MID($Z$9,1,V12)&amp;MID($AA$9,1,8-V12)),"00000000")</f>
        <v>11111111</v>
      </c>
      <c r="X12" s="23">
        <f t="shared" ref="X12:X13" si="41">V12-8</f>
        <v>13</v>
      </c>
      <c r="Y12" s="23" t="str">
        <f t="shared" ref="Y12:Y13" si="42">IFERROR(IF(8-X12&lt;1,MID($Z$9,1,X12),MID($Z$9,1,X12)&amp;MID($AA$9,1,8-X12)),"00000000")</f>
        <v>11111111</v>
      </c>
      <c r="Z12" s="23">
        <f t="shared" ref="Z12:Z13" si="43">X12-8</f>
        <v>5</v>
      </c>
      <c r="AA12" s="23" t="str">
        <f t="shared" ref="AA12:AA13" si="44">IFERROR(IF(8-Z12&lt;1,MID($Z$9,1,Z12),MID($Z$9,1,Z12)&amp;MID($AA$9,1,8-Z12)),"00000000")</f>
        <v>11111000</v>
      </c>
      <c r="AB12" s="24" t="str">
        <f t="shared" si="11"/>
        <v>0</v>
      </c>
      <c r="AC12" s="24" t="str">
        <f t="shared" si="11"/>
        <v>0</v>
      </c>
      <c r="AD12" s="24" t="str">
        <f t="shared" si="11"/>
        <v>0</v>
      </c>
      <c r="AE12" s="24" t="str">
        <f t="shared" si="11"/>
        <v>0</v>
      </c>
      <c r="AF12" s="24" t="str">
        <f t="shared" si="11"/>
        <v>1</v>
      </c>
      <c r="AG12" s="24" t="str">
        <f t="shared" si="11"/>
        <v>0</v>
      </c>
      <c r="AH12" s="24" t="str">
        <f t="shared" si="11"/>
        <v>1</v>
      </c>
      <c r="AI12" s="24" t="str">
        <f t="shared" si="11"/>
        <v>0</v>
      </c>
      <c r="AJ12" s="25" t="str">
        <f t="shared" si="25"/>
        <v>00001010</v>
      </c>
      <c r="AK12" s="25">
        <f t="shared" ref="AK12:AK13" si="45">BIN2DEC(AJ12)</f>
        <v>10</v>
      </c>
      <c r="AL12" s="24" t="str">
        <f t="shared" si="12"/>
        <v>1</v>
      </c>
      <c r="AM12" s="24" t="str">
        <f t="shared" si="12"/>
        <v>1</v>
      </c>
      <c r="AN12" s="24" t="str">
        <f t="shared" si="12"/>
        <v>1</v>
      </c>
      <c r="AO12" s="24" t="str">
        <f t="shared" si="12"/>
        <v>0</v>
      </c>
      <c r="AP12" s="24" t="str">
        <f t="shared" si="12"/>
        <v>1</v>
      </c>
      <c r="AQ12" s="24" t="str">
        <f t="shared" si="12"/>
        <v>1</v>
      </c>
      <c r="AR12" s="24" t="str">
        <f t="shared" si="12"/>
        <v>1</v>
      </c>
      <c r="AS12" s="24" t="str">
        <f t="shared" si="12"/>
        <v>1</v>
      </c>
      <c r="AT12" s="25" t="str">
        <f t="shared" ref="AT12:AT13" si="46">_xlfn.CONCAT(AL12:AS12)</f>
        <v>11101111</v>
      </c>
      <c r="AU12" s="25">
        <f t="shared" ref="AU12:AU13" si="47">BIN2DEC(AT12)</f>
        <v>239</v>
      </c>
      <c r="AV12" s="24" t="str">
        <f t="shared" si="14"/>
        <v>1</v>
      </c>
      <c r="AW12" s="24" t="str">
        <f t="shared" si="14"/>
        <v>1</v>
      </c>
      <c r="AX12" s="24" t="str">
        <f t="shared" si="14"/>
        <v>1</v>
      </c>
      <c r="AY12" s="24" t="str">
        <f t="shared" si="14"/>
        <v>1</v>
      </c>
      <c r="AZ12" s="24" t="str">
        <f t="shared" si="14"/>
        <v>1</v>
      </c>
      <c r="BA12" s="24" t="str">
        <f t="shared" si="14"/>
        <v>1</v>
      </c>
      <c r="BB12" s="24" t="str">
        <f t="shared" si="14"/>
        <v>1</v>
      </c>
      <c r="BC12" s="24" t="str">
        <f t="shared" si="14"/>
        <v>1</v>
      </c>
      <c r="BD12" s="25" t="str">
        <f t="shared" ref="BD12:BD13" si="48">_xlfn.CONCAT(AV12:BC12)</f>
        <v>11111111</v>
      </c>
      <c r="BE12" s="25">
        <f t="shared" ref="BE12:BE13" si="49">BIN2DEC(BD12)</f>
        <v>255</v>
      </c>
      <c r="BF12" s="24" t="str">
        <f t="shared" si="15"/>
        <v>1</v>
      </c>
      <c r="BG12" s="24" t="str">
        <f t="shared" si="15"/>
        <v>0</v>
      </c>
      <c r="BH12" s="24" t="str">
        <f t="shared" si="15"/>
        <v>0</v>
      </c>
      <c r="BI12" s="24" t="str">
        <f t="shared" si="15"/>
        <v>0</v>
      </c>
      <c r="BJ12" s="24" t="str">
        <f t="shared" si="15"/>
        <v>0</v>
      </c>
      <c r="BK12" s="24" t="str">
        <f t="shared" si="15"/>
        <v>0</v>
      </c>
      <c r="BL12" s="24" t="str">
        <f t="shared" si="15"/>
        <v>0</v>
      </c>
      <c r="BM12" s="24" t="str">
        <f t="shared" si="15"/>
        <v>0</v>
      </c>
      <c r="BN12" s="25" t="str">
        <f t="shared" ref="BN12:BN13" si="50">_xlfn.CONCAT(BF12:BM12)</f>
        <v>10000000</v>
      </c>
      <c r="BO12" s="25">
        <f t="shared" ref="BO12:BO13" si="51">BIN2DEC(BN12)</f>
        <v>128</v>
      </c>
    </row>
    <row r="13" spans="1:67" x14ac:dyDescent="0.25">
      <c r="B13" s="41" t="s">
        <v>36</v>
      </c>
      <c r="C13" s="42" t="str">
        <f t="shared" si="32"/>
        <v>10.239.255.224/28</v>
      </c>
      <c r="I13" s="56" t="str">
        <f t="shared" si="33"/>
        <v>00001010</v>
      </c>
      <c r="J13" s="56">
        <f t="shared" si="17"/>
        <v>3</v>
      </c>
      <c r="K13" s="56" t="str">
        <f t="shared" si="1"/>
        <v>11101111</v>
      </c>
      <c r="L13" s="56">
        <f t="shared" si="34"/>
        <v>7</v>
      </c>
      <c r="M13" s="56" t="str">
        <f t="shared" si="2"/>
        <v>11111111</v>
      </c>
      <c r="N13" s="56">
        <f t="shared" si="3"/>
        <v>11</v>
      </c>
      <c r="O13" s="56" t="str">
        <f t="shared" si="4"/>
        <v>11101110</v>
      </c>
      <c r="P13" s="56">
        <f t="shared" si="5"/>
        <v>15</v>
      </c>
      <c r="Q13" s="56" t="str">
        <f t="shared" si="6"/>
        <v>28</v>
      </c>
      <c r="R13" s="22">
        <f t="shared" si="35"/>
        <v>268435454</v>
      </c>
      <c r="S13" s="22">
        <f t="shared" si="36"/>
        <v>14</v>
      </c>
      <c r="T13" s="23" t="str">
        <f t="shared" si="37"/>
        <v>28</v>
      </c>
      <c r="U13" s="23" t="str">
        <f t="shared" si="38"/>
        <v>11111111</v>
      </c>
      <c r="V13" s="23">
        <f t="shared" si="39"/>
        <v>20</v>
      </c>
      <c r="W13" s="23" t="str">
        <f t="shared" si="40"/>
        <v>11111111</v>
      </c>
      <c r="X13" s="23">
        <f t="shared" si="41"/>
        <v>12</v>
      </c>
      <c r="Y13" s="23" t="str">
        <f t="shared" si="42"/>
        <v>11111111</v>
      </c>
      <c r="Z13" s="23">
        <f t="shared" si="43"/>
        <v>4</v>
      </c>
      <c r="AA13" s="23" t="str">
        <f t="shared" si="44"/>
        <v>11110000</v>
      </c>
      <c r="AB13" s="24" t="str">
        <f t="shared" si="11"/>
        <v>0</v>
      </c>
      <c r="AC13" s="24" t="str">
        <f t="shared" si="11"/>
        <v>0</v>
      </c>
      <c r="AD13" s="24" t="str">
        <f t="shared" si="11"/>
        <v>0</v>
      </c>
      <c r="AE13" s="24" t="str">
        <f t="shared" si="11"/>
        <v>0</v>
      </c>
      <c r="AF13" s="24" t="str">
        <f t="shared" si="11"/>
        <v>1</v>
      </c>
      <c r="AG13" s="24" t="str">
        <f t="shared" si="11"/>
        <v>0</v>
      </c>
      <c r="AH13" s="24" t="str">
        <f t="shared" si="11"/>
        <v>1</v>
      </c>
      <c r="AI13" s="24" t="str">
        <f t="shared" si="11"/>
        <v>0</v>
      </c>
      <c r="AJ13" s="25" t="str">
        <f t="shared" si="25"/>
        <v>00001010</v>
      </c>
      <c r="AK13" s="25">
        <f t="shared" si="45"/>
        <v>10</v>
      </c>
      <c r="AL13" s="24" t="str">
        <f t="shared" si="12"/>
        <v>1</v>
      </c>
      <c r="AM13" s="24" t="str">
        <f t="shared" si="12"/>
        <v>1</v>
      </c>
      <c r="AN13" s="24" t="str">
        <f t="shared" si="12"/>
        <v>1</v>
      </c>
      <c r="AO13" s="24" t="str">
        <f t="shared" si="12"/>
        <v>0</v>
      </c>
      <c r="AP13" s="24" t="str">
        <f t="shared" si="12"/>
        <v>1</v>
      </c>
      <c r="AQ13" s="24" t="str">
        <f t="shared" si="12"/>
        <v>1</v>
      </c>
      <c r="AR13" s="24" t="str">
        <f t="shared" si="12"/>
        <v>1</v>
      </c>
      <c r="AS13" s="24" t="str">
        <f t="shared" si="12"/>
        <v>1</v>
      </c>
      <c r="AT13" s="25" t="str">
        <f t="shared" si="46"/>
        <v>11101111</v>
      </c>
      <c r="AU13" s="25">
        <f t="shared" si="47"/>
        <v>239</v>
      </c>
      <c r="AV13" s="24" t="str">
        <f t="shared" si="14"/>
        <v>1</v>
      </c>
      <c r="AW13" s="24" t="str">
        <f t="shared" si="14"/>
        <v>1</v>
      </c>
      <c r="AX13" s="24" t="str">
        <f t="shared" si="14"/>
        <v>1</v>
      </c>
      <c r="AY13" s="24" t="str">
        <f t="shared" si="14"/>
        <v>1</v>
      </c>
      <c r="AZ13" s="24" t="str">
        <f t="shared" si="14"/>
        <v>1</v>
      </c>
      <c r="BA13" s="24" t="str">
        <f t="shared" si="14"/>
        <v>1</v>
      </c>
      <c r="BB13" s="24" t="str">
        <f t="shared" si="14"/>
        <v>1</v>
      </c>
      <c r="BC13" s="24" t="str">
        <f t="shared" si="14"/>
        <v>1</v>
      </c>
      <c r="BD13" s="25" t="str">
        <f t="shared" si="48"/>
        <v>11111111</v>
      </c>
      <c r="BE13" s="25">
        <f t="shared" si="49"/>
        <v>255</v>
      </c>
      <c r="BF13" s="24" t="str">
        <f t="shared" si="15"/>
        <v>1</v>
      </c>
      <c r="BG13" s="24" t="str">
        <f t="shared" si="15"/>
        <v>1</v>
      </c>
      <c r="BH13" s="24" t="str">
        <f t="shared" si="15"/>
        <v>1</v>
      </c>
      <c r="BI13" s="24" t="str">
        <f t="shared" si="15"/>
        <v>0</v>
      </c>
      <c r="BJ13" s="24" t="str">
        <f t="shared" si="15"/>
        <v>0</v>
      </c>
      <c r="BK13" s="24" t="str">
        <f t="shared" si="15"/>
        <v>0</v>
      </c>
      <c r="BL13" s="24" t="str">
        <f t="shared" si="15"/>
        <v>0</v>
      </c>
      <c r="BM13" s="24" t="str">
        <f t="shared" si="15"/>
        <v>0</v>
      </c>
      <c r="BN13" s="25" t="str">
        <f t="shared" si="50"/>
        <v>11100000</v>
      </c>
      <c r="BO13" s="25">
        <f t="shared" si="51"/>
        <v>224</v>
      </c>
    </row>
    <row r="14" spans="1:67" x14ac:dyDescent="0.25">
      <c r="B14" s="41" t="s">
        <v>37</v>
      </c>
      <c r="C14" s="42" t="str">
        <f t="shared" ref="C14:C18" si="52">AK14&amp;"."&amp;AU14&amp;"."&amp;BE14&amp;"."&amp;BO14&amp;"/"&amp;Q14</f>
        <v>10.56.205.192/26</v>
      </c>
      <c r="I14" s="56" t="str">
        <f t="shared" ref="I14:I16" si="53">DEC2BIN(MID($B14,1,J14-1),8)</f>
        <v>00001010</v>
      </c>
      <c r="J14" s="56">
        <f t="shared" si="17"/>
        <v>3</v>
      </c>
      <c r="K14" s="56" t="str">
        <f t="shared" si="1"/>
        <v>00111000</v>
      </c>
      <c r="L14" s="56">
        <f t="shared" ref="L14:L16" si="54">FIND(".",$B14,J14+1)</f>
        <v>6</v>
      </c>
      <c r="M14" s="56" t="str">
        <f t="shared" si="2"/>
        <v>11001101</v>
      </c>
      <c r="N14" s="56">
        <f t="shared" si="3"/>
        <v>10</v>
      </c>
      <c r="O14" s="56" t="str">
        <f t="shared" si="4"/>
        <v>11111110</v>
      </c>
      <c r="P14" s="56">
        <f t="shared" si="5"/>
        <v>14</v>
      </c>
      <c r="Q14" s="56" t="str">
        <f t="shared" si="6"/>
        <v>26</v>
      </c>
      <c r="R14" s="22">
        <f t="shared" ref="R14:R16" si="55">(2^Q14)-2</f>
        <v>67108862</v>
      </c>
      <c r="S14" s="22">
        <f t="shared" ref="S14:S16" si="56">(2^(32-Q14))-2</f>
        <v>62</v>
      </c>
      <c r="T14" s="23" t="str">
        <f t="shared" ref="T14:T16" si="57">Q14</f>
        <v>26</v>
      </c>
      <c r="U14" s="23" t="str">
        <f t="shared" ref="U14:U16" si="58">IFERROR(IF(8-T14&lt;1,MID($Z$9,1,T14),MID($Z$9,1,T14)&amp;MID($AA$9,1,8-T14)),"00000000")</f>
        <v>11111111</v>
      </c>
      <c r="V14" s="23">
        <f t="shared" ref="V14:V16" si="59">T14-8</f>
        <v>18</v>
      </c>
      <c r="W14" s="23" t="str">
        <f t="shared" ref="W14:W16" si="60">IFERROR(IF(8-V14&lt;1,MID($Z$9,1,V14),MID($Z$9,1,V14)&amp;MID($AA$9,1,8-V14)),"00000000")</f>
        <v>11111111</v>
      </c>
      <c r="X14" s="23">
        <f t="shared" ref="X14:X16" si="61">V14-8</f>
        <v>10</v>
      </c>
      <c r="Y14" s="23" t="str">
        <f t="shared" ref="Y14:Y16" si="62">IFERROR(IF(8-X14&lt;1,MID($Z$9,1,X14),MID($Z$9,1,X14)&amp;MID($AA$9,1,8-X14)),"00000000")</f>
        <v>11111111</v>
      </c>
      <c r="Z14" s="23">
        <f t="shared" ref="Z14:Z16" si="63">X14-8</f>
        <v>2</v>
      </c>
      <c r="AA14" s="23" t="str">
        <f t="shared" ref="AA14:AA16" si="64">IFERROR(IF(8-Z14&lt;1,MID($Z$9,1,Z14),MID($Z$9,1,Z14)&amp;MID($AA$9,1,8-Z14)),"00000000")</f>
        <v>11000000</v>
      </c>
      <c r="AB14" s="24" t="str">
        <f t="shared" si="11"/>
        <v>0</v>
      </c>
      <c r="AC14" s="24" t="str">
        <f t="shared" si="11"/>
        <v>0</v>
      </c>
      <c r="AD14" s="24" t="str">
        <f t="shared" si="11"/>
        <v>0</v>
      </c>
      <c r="AE14" s="24" t="str">
        <f t="shared" si="11"/>
        <v>0</v>
      </c>
      <c r="AF14" s="24" t="str">
        <f t="shared" si="11"/>
        <v>1</v>
      </c>
      <c r="AG14" s="24" t="str">
        <f t="shared" si="11"/>
        <v>0</v>
      </c>
      <c r="AH14" s="24" t="str">
        <f t="shared" si="11"/>
        <v>1</v>
      </c>
      <c r="AI14" s="24" t="str">
        <f t="shared" si="11"/>
        <v>0</v>
      </c>
      <c r="AJ14" s="25" t="str">
        <f t="shared" si="25"/>
        <v>00001010</v>
      </c>
      <c r="AK14" s="25">
        <f t="shared" ref="AK14:AK16" si="65">BIN2DEC(AJ14)</f>
        <v>10</v>
      </c>
      <c r="AL14" s="24" t="str">
        <f t="shared" si="12"/>
        <v>0</v>
      </c>
      <c r="AM14" s="24" t="str">
        <f t="shared" si="12"/>
        <v>0</v>
      </c>
      <c r="AN14" s="24" t="str">
        <f t="shared" si="12"/>
        <v>1</v>
      </c>
      <c r="AO14" s="24" t="str">
        <f t="shared" si="12"/>
        <v>1</v>
      </c>
      <c r="AP14" s="24" t="str">
        <f t="shared" si="12"/>
        <v>1</v>
      </c>
      <c r="AQ14" s="24" t="str">
        <f t="shared" si="12"/>
        <v>0</v>
      </c>
      <c r="AR14" s="24" t="str">
        <f t="shared" si="12"/>
        <v>0</v>
      </c>
      <c r="AS14" s="24" t="str">
        <f t="shared" si="12"/>
        <v>0</v>
      </c>
      <c r="AT14" s="25" t="str">
        <f t="shared" ref="AT14:AT16" si="66">_xlfn.CONCAT(AL14:AS14)</f>
        <v>00111000</v>
      </c>
      <c r="AU14" s="25">
        <f t="shared" ref="AU14:AU16" si="67">BIN2DEC(AT14)</f>
        <v>56</v>
      </c>
      <c r="AV14" s="24" t="str">
        <f t="shared" si="14"/>
        <v>1</v>
      </c>
      <c r="AW14" s="24" t="str">
        <f t="shared" si="14"/>
        <v>1</v>
      </c>
      <c r="AX14" s="24" t="str">
        <f t="shared" si="14"/>
        <v>0</v>
      </c>
      <c r="AY14" s="24" t="str">
        <f t="shared" si="14"/>
        <v>0</v>
      </c>
      <c r="AZ14" s="24" t="str">
        <f t="shared" si="14"/>
        <v>1</v>
      </c>
      <c r="BA14" s="24" t="str">
        <f t="shared" si="14"/>
        <v>1</v>
      </c>
      <c r="BB14" s="24" t="str">
        <f t="shared" si="14"/>
        <v>0</v>
      </c>
      <c r="BC14" s="24" t="str">
        <f t="shared" si="14"/>
        <v>1</v>
      </c>
      <c r="BD14" s="25" t="str">
        <f t="shared" ref="BD14:BD16" si="68">_xlfn.CONCAT(AV14:BC14)</f>
        <v>11001101</v>
      </c>
      <c r="BE14" s="25">
        <f t="shared" ref="BE14:BE16" si="69">BIN2DEC(BD14)</f>
        <v>205</v>
      </c>
      <c r="BF14" s="24" t="str">
        <f t="shared" si="15"/>
        <v>1</v>
      </c>
      <c r="BG14" s="24" t="str">
        <f t="shared" si="15"/>
        <v>1</v>
      </c>
      <c r="BH14" s="24" t="str">
        <f t="shared" si="15"/>
        <v>0</v>
      </c>
      <c r="BI14" s="24" t="str">
        <f t="shared" si="15"/>
        <v>0</v>
      </c>
      <c r="BJ14" s="24" t="str">
        <f t="shared" si="15"/>
        <v>0</v>
      </c>
      <c r="BK14" s="24" t="str">
        <f t="shared" si="15"/>
        <v>0</v>
      </c>
      <c r="BL14" s="24" t="str">
        <f t="shared" si="15"/>
        <v>0</v>
      </c>
      <c r="BM14" s="24" t="str">
        <f t="shared" si="15"/>
        <v>0</v>
      </c>
      <c r="BN14" s="25" t="str">
        <f t="shared" ref="BN14:BN16" si="70">_xlfn.CONCAT(BF14:BM14)</f>
        <v>11000000</v>
      </c>
      <c r="BO14" s="25">
        <f t="shared" ref="BO14:BO16" si="71">BIN2DEC(BN14)</f>
        <v>192</v>
      </c>
    </row>
    <row r="15" spans="1:67" x14ac:dyDescent="0.25">
      <c r="B15" s="41" t="s">
        <v>38</v>
      </c>
      <c r="C15" s="42" t="str">
        <f t="shared" si="52"/>
        <v>10.45.86.0/27</v>
      </c>
      <c r="I15" s="56" t="str">
        <f t="shared" si="53"/>
        <v>00001010</v>
      </c>
      <c r="J15" s="56">
        <f t="shared" si="17"/>
        <v>3</v>
      </c>
      <c r="K15" s="56" t="str">
        <f t="shared" si="1"/>
        <v>00101101</v>
      </c>
      <c r="L15" s="56">
        <f t="shared" si="54"/>
        <v>6</v>
      </c>
      <c r="M15" s="56" t="str">
        <f t="shared" si="2"/>
        <v>01010110</v>
      </c>
      <c r="N15" s="56">
        <f t="shared" si="3"/>
        <v>9</v>
      </c>
      <c r="O15" s="56" t="str">
        <f t="shared" si="4"/>
        <v>00011110</v>
      </c>
      <c r="P15" s="56">
        <f t="shared" si="5"/>
        <v>12</v>
      </c>
      <c r="Q15" s="56" t="str">
        <f t="shared" si="6"/>
        <v>27</v>
      </c>
      <c r="R15" s="22">
        <f t="shared" si="55"/>
        <v>134217726</v>
      </c>
      <c r="S15" s="22">
        <f t="shared" si="56"/>
        <v>30</v>
      </c>
      <c r="T15" s="23" t="str">
        <f t="shared" si="57"/>
        <v>27</v>
      </c>
      <c r="U15" s="23" t="str">
        <f t="shared" si="58"/>
        <v>11111111</v>
      </c>
      <c r="V15" s="23">
        <f t="shared" si="59"/>
        <v>19</v>
      </c>
      <c r="W15" s="23" t="str">
        <f t="shared" si="60"/>
        <v>11111111</v>
      </c>
      <c r="X15" s="23">
        <f t="shared" si="61"/>
        <v>11</v>
      </c>
      <c r="Y15" s="23" t="str">
        <f t="shared" si="62"/>
        <v>11111111</v>
      </c>
      <c r="Z15" s="23">
        <f t="shared" si="63"/>
        <v>3</v>
      </c>
      <c r="AA15" s="23" t="str">
        <f t="shared" si="64"/>
        <v>11100000</v>
      </c>
      <c r="AB15" s="24" t="str">
        <f t="shared" si="11"/>
        <v>0</v>
      </c>
      <c r="AC15" s="24" t="str">
        <f t="shared" si="11"/>
        <v>0</v>
      </c>
      <c r="AD15" s="24" t="str">
        <f t="shared" si="11"/>
        <v>0</v>
      </c>
      <c r="AE15" s="24" t="str">
        <f t="shared" si="11"/>
        <v>0</v>
      </c>
      <c r="AF15" s="24" t="str">
        <f t="shared" si="11"/>
        <v>1</v>
      </c>
      <c r="AG15" s="24" t="str">
        <f t="shared" si="11"/>
        <v>0</v>
      </c>
      <c r="AH15" s="24" t="str">
        <f t="shared" si="11"/>
        <v>1</v>
      </c>
      <c r="AI15" s="24" t="str">
        <f t="shared" si="11"/>
        <v>0</v>
      </c>
      <c r="AJ15" s="25" t="str">
        <f t="shared" si="25"/>
        <v>00001010</v>
      </c>
      <c r="AK15" s="25">
        <f t="shared" si="65"/>
        <v>10</v>
      </c>
      <c r="AL15" s="24" t="str">
        <f t="shared" si="12"/>
        <v>0</v>
      </c>
      <c r="AM15" s="24" t="str">
        <f t="shared" si="12"/>
        <v>0</v>
      </c>
      <c r="AN15" s="24" t="str">
        <f t="shared" si="12"/>
        <v>1</v>
      </c>
      <c r="AO15" s="24" t="str">
        <f t="shared" si="12"/>
        <v>0</v>
      </c>
      <c r="AP15" s="24" t="str">
        <f t="shared" si="12"/>
        <v>1</v>
      </c>
      <c r="AQ15" s="24" t="str">
        <f t="shared" si="12"/>
        <v>1</v>
      </c>
      <c r="AR15" s="24" t="str">
        <f t="shared" si="12"/>
        <v>0</v>
      </c>
      <c r="AS15" s="24" t="str">
        <f t="shared" si="12"/>
        <v>1</v>
      </c>
      <c r="AT15" s="25" t="str">
        <f t="shared" si="66"/>
        <v>00101101</v>
      </c>
      <c r="AU15" s="25">
        <f t="shared" si="67"/>
        <v>45</v>
      </c>
      <c r="AV15" s="24" t="str">
        <f t="shared" si="14"/>
        <v>0</v>
      </c>
      <c r="AW15" s="24" t="str">
        <f t="shared" si="14"/>
        <v>1</v>
      </c>
      <c r="AX15" s="24" t="str">
        <f t="shared" si="14"/>
        <v>0</v>
      </c>
      <c r="AY15" s="24" t="str">
        <f t="shared" si="14"/>
        <v>1</v>
      </c>
      <c r="AZ15" s="24" t="str">
        <f t="shared" si="14"/>
        <v>0</v>
      </c>
      <c r="BA15" s="24" t="str">
        <f t="shared" si="14"/>
        <v>1</v>
      </c>
      <c r="BB15" s="24" t="str">
        <f t="shared" si="14"/>
        <v>1</v>
      </c>
      <c r="BC15" s="24" t="str">
        <f t="shared" si="14"/>
        <v>0</v>
      </c>
      <c r="BD15" s="25" t="str">
        <f t="shared" si="68"/>
        <v>01010110</v>
      </c>
      <c r="BE15" s="25">
        <f t="shared" si="69"/>
        <v>86</v>
      </c>
      <c r="BF15" s="24" t="str">
        <f t="shared" si="15"/>
        <v>0</v>
      </c>
      <c r="BG15" s="24" t="str">
        <f t="shared" si="15"/>
        <v>0</v>
      </c>
      <c r="BH15" s="24" t="str">
        <f t="shared" si="15"/>
        <v>0</v>
      </c>
      <c r="BI15" s="24" t="str">
        <f t="shared" si="15"/>
        <v>0</v>
      </c>
      <c r="BJ15" s="24" t="str">
        <f t="shared" si="15"/>
        <v>0</v>
      </c>
      <c r="BK15" s="24" t="str">
        <f t="shared" si="15"/>
        <v>0</v>
      </c>
      <c r="BL15" s="24" t="str">
        <f t="shared" si="15"/>
        <v>0</v>
      </c>
      <c r="BM15" s="24" t="str">
        <f t="shared" si="15"/>
        <v>0</v>
      </c>
      <c r="BN15" s="25" t="str">
        <f t="shared" si="70"/>
        <v>00000000</v>
      </c>
      <c r="BO15" s="25">
        <f t="shared" si="71"/>
        <v>0</v>
      </c>
    </row>
    <row r="16" spans="1:67" x14ac:dyDescent="0.25">
      <c r="B16" s="41" t="s">
        <v>39</v>
      </c>
      <c r="C16" s="42" t="str">
        <f t="shared" si="52"/>
        <v>10.45.86.128/25</v>
      </c>
      <c r="I16" s="56" t="str">
        <f t="shared" si="53"/>
        <v>00001010</v>
      </c>
      <c r="J16" s="56">
        <f t="shared" si="17"/>
        <v>3</v>
      </c>
      <c r="K16" s="56" t="str">
        <f t="shared" si="1"/>
        <v>00101101</v>
      </c>
      <c r="L16" s="56">
        <f t="shared" si="54"/>
        <v>6</v>
      </c>
      <c r="M16" s="56" t="str">
        <f t="shared" si="2"/>
        <v>01010110</v>
      </c>
      <c r="N16" s="56">
        <f t="shared" si="3"/>
        <v>9</v>
      </c>
      <c r="O16" s="56" t="str">
        <f t="shared" si="4"/>
        <v>11111110</v>
      </c>
      <c r="P16" s="56">
        <f t="shared" si="5"/>
        <v>13</v>
      </c>
      <c r="Q16" s="56" t="str">
        <f t="shared" si="6"/>
        <v>25</v>
      </c>
      <c r="R16" s="22">
        <f t="shared" si="55"/>
        <v>33554430</v>
      </c>
      <c r="S16" s="22">
        <f t="shared" si="56"/>
        <v>126</v>
      </c>
      <c r="T16" s="23" t="str">
        <f t="shared" si="57"/>
        <v>25</v>
      </c>
      <c r="U16" s="23" t="str">
        <f t="shared" si="58"/>
        <v>11111111</v>
      </c>
      <c r="V16" s="23">
        <f t="shared" si="59"/>
        <v>17</v>
      </c>
      <c r="W16" s="23" t="str">
        <f t="shared" si="60"/>
        <v>11111111</v>
      </c>
      <c r="X16" s="23">
        <f t="shared" si="61"/>
        <v>9</v>
      </c>
      <c r="Y16" s="23" t="str">
        <f t="shared" si="62"/>
        <v>11111111</v>
      </c>
      <c r="Z16" s="23">
        <f t="shared" si="63"/>
        <v>1</v>
      </c>
      <c r="AA16" s="23" t="str">
        <f t="shared" si="64"/>
        <v>10000000</v>
      </c>
      <c r="AB16" s="24" t="str">
        <f t="shared" si="11"/>
        <v>0</v>
      </c>
      <c r="AC16" s="24" t="str">
        <f t="shared" si="11"/>
        <v>0</v>
      </c>
      <c r="AD16" s="24" t="str">
        <f t="shared" si="11"/>
        <v>0</v>
      </c>
      <c r="AE16" s="24" t="str">
        <f t="shared" si="11"/>
        <v>0</v>
      </c>
      <c r="AF16" s="24" t="str">
        <f t="shared" si="11"/>
        <v>1</v>
      </c>
      <c r="AG16" s="24" t="str">
        <f t="shared" si="11"/>
        <v>0</v>
      </c>
      <c r="AH16" s="24" t="str">
        <f t="shared" si="11"/>
        <v>1</v>
      </c>
      <c r="AI16" s="24" t="str">
        <f t="shared" si="11"/>
        <v>0</v>
      </c>
      <c r="AJ16" s="25" t="str">
        <f t="shared" si="25"/>
        <v>00001010</v>
      </c>
      <c r="AK16" s="25">
        <f t="shared" si="65"/>
        <v>10</v>
      </c>
      <c r="AL16" s="24" t="str">
        <f t="shared" si="12"/>
        <v>0</v>
      </c>
      <c r="AM16" s="24" t="str">
        <f t="shared" si="12"/>
        <v>0</v>
      </c>
      <c r="AN16" s="24" t="str">
        <f t="shared" si="12"/>
        <v>1</v>
      </c>
      <c r="AO16" s="24" t="str">
        <f t="shared" si="12"/>
        <v>0</v>
      </c>
      <c r="AP16" s="24" t="str">
        <f t="shared" si="12"/>
        <v>1</v>
      </c>
      <c r="AQ16" s="24" t="str">
        <f t="shared" si="12"/>
        <v>1</v>
      </c>
      <c r="AR16" s="24" t="str">
        <f t="shared" si="12"/>
        <v>0</v>
      </c>
      <c r="AS16" s="24" t="str">
        <f t="shared" si="12"/>
        <v>1</v>
      </c>
      <c r="AT16" s="25" t="str">
        <f t="shared" si="66"/>
        <v>00101101</v>
      </c>
      <c r="AU16" s="25">
        <f t="shared" si="67"/>
        <v>45</v>
      </c>
      <c r="AV16" s="24" t="str">
        <f t="shared" si="14"/>
        <v>0</v>
      </c>
      <c r="AW16" s="24" t="str">
        <f t="shared" si="14"/>
        <v>1</v>
      </c>
      <c r="AX16" s="24" t="str">
        <f t="shared" si="14"/>
        <v>0</v>
      </c>
      <c r="AY16" s="24" t="str">
        <f t="shared" si="14"/>
        <v>1</v>
      </c>
      <c r="AZ16" s="24" t="str">
        <f t="shared" si="14"/>
        <v>0</v>
      </c>
      <c r="BA16" s="24" t="str">
        <f t="shared" si="14"/>
        <v>1</v>
      </c>
      <c r="BB16" s="24" t="str">
        <f t="shared" si="14"/>
        <v>1</v>
      </c>
      <c r="BC16" s="24" t="str">
        <f t="shared" si="14"/>
        <v>0</v>
      </c>
      <c r="BD16" s="25" t="str">
        <f t="shared" si="68"/>
        <v>01010110</v>
      </c>
      <c r="BE16" s="25">
        <f t="shared" si="69"/>
        <v>86</v>
      </c>
      <c r="BF16" s="24" t="str">
        <f t="shared" si="15"/>
        <v>1</v>
      </c>
      <c r="BG16" s="24" t="str">
        <f t="shared" si="15"/>
        <v>0</v>
      </c>
      <c r="BH16" s="24" t="str">
        <f t="shared" si="15"/>
        <v>0</v>
      </c>
      <c r="BI16" s="24" t="str">
        <f t="shared" si="15"/>
        <v>0</v>
      </c>
      <c r="BJ16" s="24" t="str">
        <f t="shared" si="15"/>
        <v>0</v>
      </c>
      <c r="BK16" s="24" t="str">
        <f t="shared" si="15"/>
        <v>0</v>
      </c>
      <c r="BL16" s="24" t="str">
        <f t="shared" si="15"/>
        <v>0</v>
      </c>
      <c r="BM16" s="24" t="str">
        <f t="shared" si="15"/>
        <v>0</v>
      </c>
      <c r="BN16" s="25" t="str">
        <f t="shared" si="70"/>
        <v>10000000</v>
      </c>
      <c r="BO16" s="25">
        <f t="shared" si="71"/>
        <v>128</v>
      </c>
    </row>
    <row r="17" spans="2:67" x14ac:dyDescent="0.25">
      <c r="B17" s="41" t="s">
        <v>40</v>
      </c>
      <c r="C17" s="42" t="str">
        <f t="shared" si="52"/>
        <v>23.40.0.0/13</v>
      </c>
      <c r="I17" s="56" t="str">
        <f t="shared" ref="I17:I18" si="72">DEC2BIN(MID($B17,1,J17-1),8)</f>
        <v>00010111</v>
      </c>
      <c r="J17" s="56">
        <f t="shared" si="17"/>
        <v>3</v>
      </c>
      <c r="K17" s="56" t="str">
        <f t="shared" si="1"/>
        <v>00101000</v>
      </c>
      <c r="L17" s="56">
        <f t="shared" ref="L17:L18" si="73">FIND(".",$B17,J17+1)</f>
        <v>6</v>
      </c>
      <c r="M17" s="56" t="str">
        <f t="shared" si="2"/>
        <v>00111001</v>
      </c>
      <c r="N17" s="56">
        <f t="shared" si="3"/>
        <v>9</v>
      </c>
      <c r="O17" s="56" t="str">
        <f t="shared" si="4"/>
        <v>00000111</v>
      </c>
      <c r="P17" s="56">
        <f t="shared" si="5"/>
        <v>11</v>
      </c>
      <c r="Q17" s="56" t="str">
        <f t="shared" si="6"/>
        <v>13</v>
      </c>
      <c r="R17" s="22">
        <f t="shared" ref="R17:R18" si="74">(2^Q17)-2</f>
        <v>8190</v>
      </c>
      <c r="S17" s="22">
        <f t="shared" ref="S17:S18" si="75">(2^(32-Q17))-2</f>
        <v>524286</v>
      </c>
      <c r="T17" s="23" t="str">
        <f t="shared" ref="T17:T18" si="76">Q17</f>
        <v>13</v>
      </c>
      <c r="U17" s="23" t="str">
        <f t="shared" ref="U17:U18" si="77">IFERROR(IF(8-T17&lt;1,MID($Z$9,1,T17),MID($Z$9,1,T17)&amp;MID($AA$9,1,8-T17)),"00000000")</f>
        <v>11111111</v>
      </c>
      <c r="V17" s="23">
        <f t="shared" ref="V17:V18" si="78">T17-8</f>
        <v>5</v>
      </c>
      <c r="W17" s="23" t="str">
        <f t="shared" ref="W17:W18" si="79">IFERROR(IF(8-V17&lt;1,MID($Z$9,1,V17),MID($Z$9,1,V17)&amp;MID($AA$9,1,8-V17)),"00000000")</f>
        <v>11111000</v>
      </c>
      <c r="X17" s="23">
        <f t="shared" ref="X17:X18" si="80">V17-8</f>
        <v>-3</v>
      </c>
      <c r="Y17" s="23" t="str">
        <f t="shared" ref="Y17:Y18" si="81">IFERROR(IF(8-X17&lt;1,MID($Z$9,1,X17),MID($Z$9,1,X17)&amp;MID($AA$9,1,8-X17)),"00000000")</f>
        <v>00000000</v>
      </c>
      <c r="Z17" s="23">
        <f t="shared" ref="Z17:Z18" si="82">X17-8</f>
        <v>-11</v>
      </c>
      <c r="AA17" s="23" t="str">
        <f t="shared" ref="AA17:AA18" si="83">IFERROR(IF(8-Z17&lt;1,MID($Z$9,1,Z17),MID($Z$9,1,Z17)&amp;MID($AA$9,1,8-Z17)),"00000000")</f>
        <v>00000000</v>
      </c>
      <c r="AB17" s="24" t="str">
        <f t="shared" si="11"/>
        <v>0</v>
      </c>
      <c r="AC17" s="24" t="str">
        <f t="shared" si="11"/>
        <v>0</v>
      </c>
      <c r="AD17" s="24" t="str">
        <f t="shared" si="11"/>
        <v>0</v>
      </c>
      <c r="AE17" s="24" t="str">
        <f t="shared" si="11"/>
        <v>1</v>
      </c>
      <c r="AF17" s="24" t="str">
        <f t="shared" si="11"/>
        <v>0</v>
      </c>
      <c r="AG17" s="24" t="str">
        <f t="shared" si="11"/>
        <v>1</v>
      </c>
      <c r="AH17" s="24" t="str">
        <f t="shared" si="11"/>
        <v>1</v>
      </c>
      <c r="AI17" s="24" t="str">
        <f t="shared" si="11"/>
        <v>1</v>
      </c>
      <c r="AJ17" s="25" t="str">
        <f t="shared" si="25"/>
        <v>00010111</v>
      </c>
      <c r="AK17" s="25">
        <f t="shared" ref="AK17:AK18" si="84">BIN2DEC(AJ17)</f>
        <v>23</v>
      </c>
      <c r="AL17" s="24" t="str">
        <f t="shared" si="12"/>
        <v>0</v>
      </c>
      <c r="AM17" s="24" t="str">
        <f t="shared" si="12"/>
        <v>0</v>
      </c>
      <c r="AN17" s="24" t="str">
        <f t="shared" si="12"/>
        <v>1</v>
      </c>
      <c r="AO17" s="24" t="str">
        <f t="shared" si="12"/>
        <v>0</v>
      </c>
      <c r="AP17" s="24" t="str">
        <f t="shared" si="12"/>
        <v>1</v>
      </c>
      <c r="AQ17" s="24" t="str">
        <f t="shared" si="12"/>
        <v>0</v>
      </c>
      <c r="AR17" s="24" t="str">
        <f t="shared" si="12"/>
        <v>0</v>
      </c>
      <c r="AS17" s="24" t="str">
        <f t="shared" si="12"/>
        <v>0</v>
      </c>
      <c r="AT17" s="25" t="str">
        <f t="shared" ref="AT17:AT18" si="85">_xlfn.CONCAT(AL17:AS17)</f>
        <v>00101000</v>
      </c>
      <c r="AU17" s="25">
        <f t="shared" ref="AU17:AU18" si="86">BIN2DEC(AT17)</f>
        <v>40</v>
      </c>
      <c r="AV17" s="24" t="str">
        <f t="shared" si="14"/>
        <v>0</v>
      </c>
      <c r="AW17" s="24" t="str">
        <f t="shared" si="14"/>
        <v>0</v>
      </c>
      <c r="AX17" s="24" t="str">
        <f t="shared" si="14"/>
        <v>0</v>
      </c>
      <c r="AY17" s="24" t="str">
        <f t="shared" si="14"/>
        <v>0</v>
      </c>
      <c r="AZ17" s="24" t="str">
        <f t="shared" si="14"/>
        <v>0</v>
      </c>
      <c r="BA17" s="24" t="str">
        <f t="shared" si="14"/>
        <v>0</v>
      </c>
      <c r="BB17" s="24" t="str">
        <f t="shared" si="14"/>
        <v>0</v>
      </c>
      <c r="BC17" s="24" t="str">
        <f t="shared" si="14"/>
        <v>0</v>
      </c>
      <c r="BD17" s="25" t="str">
        <f t="shared" ref="BD17:BD18" si="87">_xlfn.CONCAT(AV17:BC17)</f>
        <v>00000000</v>
      </c>
      <c r="BE17" s="25">
        <f t="shared" ref="BE17:BE18" si="88">BIN2DEC(BD17)</f>
        <v>0</v>
      </c>
      <c r="BF17" s="24" t="str">
        <f t="shared" si="15"/>
        <v>0</v>
      </c>
      <c r="BG17" s="24" t="str">
        <f t="shared" si="15"/>
        <v>0</v>
      </c>
      <c r="BH17" s="24" t="str">
        <f t="shared" si="15"/>
        <v>0</v>
      </c>
      <c r="BI17" s="24" t="str">
        <f t="shared" si="15"/>
        <v>0</v>
      </c>
      <c r="BJ17" s="24" t="str">
        <f t="shared" si="15"/>
        <v>0</v>
      </c>
      <c r="BK17" s="24" t="str">
        <f t="shared" si="15"/>
        <v>0</v>
      </c>
      <c r="BL17" s="24" t="str">
        <f t="shared" si="15"/>
        <v>0</v>
      </c>
      <c r="BM17" s="24" t="str">
        <f t="shared" si="15"/>
        <v>0</v>
      </c>
      <c r="BN17" s="25" t="str">
        <f t="shared" ref="BN17:BN18" si="89">_xlfn.CONCAT(BF17:BM17)</f>
        <v>00000000</v>
      </c>
      <c r="BO17" s="25">
        <f t="shared" ref="BO17:BO18" si="90">BIN2DEC(BN17)</f>
        <v>0</v>
      </c>
    </row>
    <row r="18" spans="2:67" x14ac:dyDescent="0.25">
      <c r="B18" s="41" t="s">
        <v>39</v>
      </c>
      <c r="C18" s="42" t="str">
        <f t="shared" si="52"/>
        <v>10.45.86.128/25</v>
      </c>
      <c r="I18" s="56" t="str">
        <f t="shared" si="72"/>
        <v>00001010</v>
      </c>
      <c r="J18" s="56">
        <f t="shared" si="17"/>
        <v>3</v>
      </c>
      <c r="K18" s="56" t="str">
        <f t="shared" si="1"/>
        <v>00101101</v>
      </c>
      <c r="L18" s="56">
        <f t="shared" si="73"/>
        <v>6</v>
      </c>
      <c r="M18" s="56" t="str">
        <f t="shared" si="2"/>
        <v>01010110</v>
      </c>
      <c r="N18" s="56">
        <f t="shared" si="3"/>
        <v>9</v>
      </c>
      <c r="O18" s="56" t="str">
        <f t="shared" si="4"/>
        <v>11111110</v>
      </c>
      <c r="P18" s="56">
        <f t="shared" si="5"/>
        <v>13</v>
      </c>
      <c r="Q18" s="56" t="str">
        <f t="shared" si="6"/>
        <v>25</v>
      </c>
      <c r="R18" s="22">
        <f t="shared" si="74"/>
        <v>33554430</v>
      </c>
      <c r="S18" s="22">
        <f t="shared" si="75"/>
        <v>126</v>
      </c>
      <c r="T18" s="23" t="str">
        <f t="shared" si="76"/>
        <v>25</v>
      </c>
      <c r="U18" s="23" t="str">
        <f t="shared" si="77"/>
        <v>11111111</v>
      </c>
      <c r="V18" s="23">
        <f t="shared" si="78"/>
        <v>17</v>
      </c>
      <c r="W18" s="23" t="str">
        <f t="shared" si="79"/>
        <v>11111111</v>
      </c>
      <c r="X18" s="23">
        <f t="shared" si="80"/>
        <v>9</v>
      </c>
      <c r="Y18" s="23" t="str">
        <f t="shared" si="81"/>
        <v>11111111</v>
      </c>
      <c r="Z18" s="23">
        <f t="shared" si="82"/>
        <v>1</v>
      </c>
      <c r="AA18" s="23" t="str">
        <f t="shared" si="83"/>
        <v>10000000</v>
      </c>
      <c r="AB18" s="24" t="str">
        <f t="shared" si="11"/>
        <v>0</v>
      </c>
      <c r="AC18" s="24" t="str">
        <f t="shared" si="11"/>
        <v>0</v>
      </c>
      <c r="AD18" s="24" t="str">
        <f t="shared" si="11"/>
        <v>0</v>
      </c>
      <c r="AE18" s="24" t="str">
        <f t="shared" si="11"/>
        <v>0</v>
      </c>
      <c r="AF18" s="24" t="str">
        <f t="shared" si="11"/>
        <v>1</v>
      </c>
      <c r="AG18" s="24" t="str">
        <f t="shared" si="11"/>
        <v>0</v>
      </c>
      <c r="AH18" s="24" t="str">
        <f t="shared" si="11"/>
        <v>1</v>
      </c>
      <c r="AI18" s="24" t="str">
        <f t="shared" si="11"/>
        <v>0</v>
      </c>
      <c r="AJ18" s="25" t="str">
        <f t="shared" si="25"/>
        <v>00001010</v>
      </c>
      <c r="AK18" s="25">
        <f t="shared" si="84"/>
        <v>10</v>
      </c>
      <c r="AL18" s="24" t="str">
        <f t="shared" si="12"/>
        <v>0</v>
      </c>
      <c r="AM18" s="24" t="str">
        <f t="shared" si="12"/>
        <v>0</v>
      </c>
      <c r="AN18" s="24" t="str">
        <f t="shared" si="12"/>
        <v>1</v>
      </c>
      <c r="AO18" s="24" t="str">
        <f t="shared" si="12"/>
        <v>0</v>
      </c>
      <c r="AP18" s="24" t="str">
        <f t="shared" si="12"/>
        <v>1</v>
      </c>
      <c r="AQ18" s="24" t="str">
        <f t="shared" si="12"/>
        <v>1</v>
      </c>
      <c r="AR18" s="24" t="str">
        <f t="shared" si="12"/>
        <v>0</v>
      </c>
      <c r="AS18" s="24" t="str">
        <f t="shared" si="12"/>
        <v>1</v>
      </c>
      <c r="AT18" s="25" t="str">
        <f t="shared" si="85"/>
        <v>00101101</v>
      </c>
      <c r="AU18" s="25">
        <f t="shared" si="86"/>
        <v>45</v>
      </c>
      <c r="AV18" s="24" t="str">
        <f t="shared" si="14"/>
        <v>0</v>
      </c>
      <c r="AW18" s="24" t="str">
        <f t="shared" si="14"/>
        <v>1</v>
      </c>
      <c r="AX18" s="24" t="str">
        <f t="shared" si="14"/>
        <v>0</v>
      </c>
      <c r="AY18" s="24" t="str">
        <f t="shared" si="14"/>
        <v>1</v>
      </c>
      <c r="AZ18" s="24" t="str">
        <f t="shared" si="14"/>
        <v>0</v>
      </c>
      <c r="BA18" s="24" t="str">
        <f t="shared" si="14"/>
        <v>1</v>
      </c>
      <c r="BB18" s="24" t="str">
        <f t="shared" si="14"/>
        <v>1</v>
      </c>
      <c r="BC18" s="24" t="str">
        <f t="shared" si="14"/>
        <v>0</v>
      </c>
      <c r="BD18" s="25" t="str">
        <f t="shared" si="87"/>
        <v>01010110</v>
      </c>
      <c r="BE18" s="25">
        <f t="shared" si="88"/>
        <v>86</v>
      </c>
      <c r="BF18" s="24" t="str">
        <f t="shared" si="15"/>
        <v>1</v>
      </c>
      <c r="BG18" s="24" t="str">
        <f t="shared" si="15"/>
        <v>0</v>
      </c>
      <c r="BH18" s="24" t="str">
        <f t="shared" si="15"/>
        <v>0</v>
      </c>
      <c r="BI18" s="24" t="str">
        <f t="shared" si="15"/>
        <v>0</v>
      </c>
      <c r="BJ18" s="24" t="str">
        <f t="shared" si="15"/>
        <v>0</v>
      </c>
      <c r="BK18" s="24" t="str">
        <f t="shared" si="15"/>
        <v>0</v>
      </c>
      <c r="BL18" s="24" t="str">
        <f t="shared" si="15"/>
        <v>0</v>
      </c>
      <c r="BM18" s="24" t="str">
        <f t="shared" si="15"/>
        <v>0</v>
      </c>
      <c r="BN18" s="25" t="str">
        <f t="shared" si="89"/>
        <v>10000000</v>
      </c>
      <c r="BO18" s="25">
        <f t="shared" si="90"/>
        <v>128</v>
      </c>
    </row>
    <row r="19" spans="2:67" x14ac:dyDescent="0.25">
      <c r="B19" s="41"/>
      <c r="C19" s="41"/>
    </row>
    <row r="20" spans="2:67" x14ac:dyDescent="0.25">
      <c r="B20" s="60" t="s">
        <v>132</v>
      </c>
      <c r="C20" s="41"/>
    </row>
    <row r="21" spans="2:67" x14ac:dyDescent="0.25">
      <c r="B21" s="60"/>
      <c r="C21" s="41"/>
    </row>
    <row r="22" spans="2:67" x14ac:dyDescent="0.25">
      <c r="B22" s="41"/>
      <c r="C22" s="41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B14" sqref="B14"/>
    </sheetView>
  </sheetViews>
  <sheetFormatPr defaultRowHeight="15" x14ac:dyDescent="0.25"/>
  <cols>
    <col min="1" max="1" width="5.42578125" bestFit="1" customWidth="1"/>
    <col min="2" max="2" width="7.28515625" bestFit="1" customWidth="1"/>
    <col min="3" max="4" width="18.42578125" bestFit="1" customWidth="1"/>
    <col min="5" max="6" width="19.85546875" bestFit="1" customWidth="1"/>
  </cols>
  <sheetData>
    <row r="1" spans="1:6" ht="26.25" x14ac:dyDescent="0.25">
      <c r="A1" s="59" t="s">
        <v>113</v>
      </c>
    </row>
    <row r="4" spans="1:6" x14ac:dyDescent="0.25">
      <c r="A4" s="17"/>
      <c r="B4" s="17"/>
      <c r="C4" s="17" t="s">
        <v>114</v>
      </c>
      <c r="D4" s="17" t="s">
        <v>115</v>
      </c>
      <c r="E4" s="17" t="s">
        <v>114</v>
      </c>
      <c r="F4" s="17" t="s">
        <v>116</v>
      </c>
    </row>
    <row r="5" spans="1:6" x14ac:dyDescent="0.25">
      <c r="A5" s="17" t="s">
        <v>117</v>
      </c>
      <c r="B5" s="17" t="s">
        <v>118</v>
      </c>
      <c r="C5" s="17" t="s">
        <v>119</v>
      </c>
      <c r="D5" s="17" t="s">
        <v>119</v>
      </c>
      <c r="E5" s="17" t="s">
        <v>120</v>
      </c>
      <c r="F5" s="17" t="s">
        <v>120</v>
      </c>
    </row>
    <row r="6" spans="1:6" x14ac:dyDescent="0.25">
      <c r="A6" s="38" t="s">
        <v>121</v>
      </c>
      <c r="B6" s="37">
        <v>0</v>
      </c>
      <c r="C6" s="39">
        <v>0</v>
      </c>
      <c r="D6" s="39">
        <v>1111111</v>
      </c>
      <c r="E6" s="37">
        <v>0</v>
      </c>
      <c r="F6" s="37">
        <v>127</v>
      </c>
    </row>
    <row r="7" spans="1:6" x14ac:dyDescent="0.25">
      <c r="A7" s="36" t="s">
        <v>122</v>
      </c>
      <c r="B7">
        <v>10</v>
      </c>
      <c r="C7" s="5">
        <v>10000000</v>
      </c>
      <c r="D7" s="5">
        <v>10111111</v>
      </c>
      <c r="E7">
        <v>128</v>
      </c>
      <c r="F7">
        <v>191</v>
      </c>
    </row>
    <row r="8" spans="1:6" x14ac:dyDescent="0.25">
      <c r="A8" s="36" t="s">
        <v>123</v>
      </c>
      <c r="B8">
        <v>110</v>
      </c>
      <c r="C8" s="5">
        <v>11000000</v>
      </c>
      <c r="D8" s="5">
        <v>11011111</v>
      </c>
      <c r="E8">
        <v>192</v>
      </c>
      <c r="F8">
        <v>223</v>
      </c>
    </row>
    <row r="9" spans="1:6" x14ac:dyDescent="0.25">
      <c r="A9" s="36" t="s">
        <v>124</v>
      </c>
      <c r="B9">
        <v>1110</v>
      </c>
      <c r="C9" s="5">
        <v>11100000</v>
      </c>
      <c r="D9" s="5">
        <v>11101111</v>
      </c>
      <c r="E9">
        <v>224</v>
      </c>
      <c r="F9">
        <v>239</v>
      </c>
    </row>
    <row r="10" spans="1:6" x14ac:dyDescent="0.25">
      <c r="A10" s="36" t="s">
        <v>125</v>
      </c>
      <c r="B10">
        <v>1111</v>
      </c>
      <c r="C10" s="5">
        <v>11110000</v>
      </c>
      <c r="D10" s="5">
        <v>11111111</v>
      </c>
      <c r="E10">
        <v>240</v>
      </c>
      <c r="F10">
        <v>255</v>
      </c>
    </row>
    <row r="11" spans="1:6" x14ac:dyDescent="0.25">
      <c r="A11" s="37"/>
      <c r="B11" s="37"/>
      <c r="C11" s="37"/>
      <c r="D11" s="37"/>
      <c r="E11" s="37"/>
      <c r="F11" s="37"/>
    </row>
    <row r="12" spans="1:6" x14ac:dyDescent="0.25">
      <c r="A12" t="s">
        <v>126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A26" sqref="A26:XFD26"/>
    </sheetView>
  </sheetViews>
  <sheetFormatPr defaultRowHeight="15" x14ac:dyDescent="0.25"/>
  <cols>
    <col min="1" max="1" width="9.140625" style="18"/>
    <col min="2" max="2" width="21.42578125" style="18" customWidth="1"/>
    <col min="3" max="3" width="30.140625" style="18" customWidth="1"/>
    <col min="4" max="4" width="30.5703125" style="18" customWidth="1"/>
    <col min="5" max="5" width="82.140625" style="19" customWidth="1"/>
    <col min="6" max="16384" width="9.140625" style="18"/>
  </cols>
  <sheetData>
    <row r="1" spans="1:5" ht="26.25" x14ac:dyDescent="0.25">
      <c r="A1" s="59" t="s">
        <v>54</v>
      </c>
    </row>
    <row r="4" spans="1:5" x14ac:dyDescent="0.25">
      <c r="B4" s="20"/>
      <c r="C4" s="20"/>
      <c r="D4" s="20"/>
      <c r="E4" s="21"/>
    </row>
    <row r="5" spans="1:5" x14ac:dyDescent="0.25">
      <c r="B5" s="20" t="s">
        <v>55</v>
      </c>
      <c r="C5" s="20" t="s">
        <v>56</v>
      </c>
      <c r="D5" s="20" t="s">
        <v>57</v>
      </c>
      <c r="E5" s="21" t="s">
        <v>58</v>
      </c>
    </row>
    <row r="6" spans="1:5" x14ac:dyDescent="0.25">
      <c r="B6" s="18" t="s">
        <v>59</v>
      </c>
      <c r="C6" s="18" t="s">
        <v>60</v>
      </c>
      <c r="D6" s="18" t="s">
        <v>61</v>
      </c>
      <c r="E6" s="19" t="s">
        <v>62</v>
      </c>
    </row>
    <row r="7" spans="1:5" x14ac:dyDescent="0.25">
      <c r="B7" s="62" t="s">
        <v>63</v>
      </c>
      <c r="C7" s="18" t="s">
        <v>64</v>
      </c>
      <c r="D7" s="18" t="s">
        <v>65</v>
      </c>
      <c r="E7" s="19" t="s">
        <v>66</v>
      </c>
    </row>
    <row r="8" spans="1:5" ht="30" x14ac:dyDescent="0.25">
      <c r="B8" s="18" t="s">
        <v>67</v>
      </c>
      <c r="C8" s="18" t="s">
        <v>68</v>
      </c>
      <c r="D8" s="18" t="s">
        <v>65</v>
      </c>
      <c r="E8" s="19" t="s">
        <v>69</v>
      </c>
    </row>
    <row r="9" spans="1:5" x14ac:dyDescent="0.25">
      <c r="B9" s="18" t="s">
        <v>70</v>
      </c>
      <c r="C9" s="18" t="s">
        <v>71</v>
      </c>
      <c r="D9" s="18" t="s">
        <v>72</v>
      </c>
      <c r="E9" s="19" t="s">
        <v>73</v>
      </c>
    </row>
    <row r="10" spans="1:5" ht="30" x14ac:dyDescent="0.25">
      <c r="B10" s="18" t="s">
        <v>74</v>
      </c>
      <c r="C10" s="18" t="s">
        <v>75</v>
      </c>
      <c r="D10" s="18" t="s">
        <v>76</v>
      </c>
      <c r="E10" s="19" t="s">
        <v>77</v>
      </c>
    </row>
    <row r="11" spans="1:5" x14ac:dyDescent="0.25">
      <c r="B11" s="62" t="s">
        <v>78</v>
      </c>
      <c r="C11" s="18" t="s">
        <v>79</v>
      </c>
      <c r="D11" s="18" t="s">
        <v>65</v>
      </c>
      <c r="E11" s="19" t="s">
        <v>80</v>
      </c>
    </row>
    <row r="12" spans="1:5" x14ac:dyDescent="0.25">
      <c r="B12" s="18" t="s">
        <v>81</v>
      </c>
      <c r="C12" s="18" t="s">
        <v>82</v>
      </c>
      <c r="D12" s="18" t="s">
        <v>65</v>
      </c>
      <c r="E12" s="19" t="s">
        <v>83</v>
      </c>
    </row>
    <row r="13" spans="1:5" x14ac:dyDescent="0.25">
      <c r="B13" s="18" t="s">
        <v>84</v>
      </c>
      <c r="C13" s="18" t="s">
        <v>85</v>
      </c>
      <c r="D13" s="18" t="s">
        <v>86</v>
      </c>
      <c r="E13" s="19" t="s">
        <v>87</v>
      </c>
    </row>
    <row r="14" spans="1:5" ht="30" x14ac:dyDescent="0.25">
      <c r="B14" s="18" t="s">
        <v>88</v>
      </c>
      <c r="C14" s="18" t="s">
        <v>89</v>
      </c>
      <c r="D14" s="18" t="s">
        <v>90</v>
      </c>
      <c r="E14" s="19" t="s">
        <v>91</v>
      </c>
    </row>
    <row r="15" spans="1:5" x14ac:dyDescent="0.25">
      <c r="B15" s="62" t="s">
        <v>92</v>
      </c>
      <c r="C15" s="18" t="s">
        <v>93</v>
      </c>
      <c r="D15" s="18" t="s">
        <v>65</v>
      </c>
      <c r="E15" s="19" t="s">
        <v>80</v>
      </c>
    </row>
    <row r="16" spans="1:5" ht="30" x14ac:dyDescent="0.25">
      <c r="B16" s="18" t="s">
        <v>94</v>
      </c>
      <c r="C16" s="18" t="s">
        <v>95</v>
      </c>
      <c r="D16" s="18" t="s">
        <v>65</v>
      </c>
      <c r="E16" s="19" t="s">
        <v>96</v>
      </c>
    </row>
    <row r="17" spans="2:5" x14ac:dyDescent="0.25">
      <c r="B17" s="18" t="s">
        <v>97</v>
      </c>
      <c r="C17" s="18" t="s">
        <v>98</v>
      </c>
      <c r="D17" s="18" t="s">
        <v>86</v>
      </c>
      <c r="E17" s="19" t="s">
        <v>99</v>
      </c>
    </row>
    <row r="18" spans="2:5" x14ac:dyDescent="0.25">
      <c r="B18" s="18" t="s">
        <v>100</v>
      </c>
      <c r="C18" s="18" t="s">
        <v>101</v>
      </c>
      <c r="D18" s="18" t="s">
        <v>86</v>
      </c>
      <c r="E18" s="19" t="s">
        <v>102</v>
      </c>
    </row>
    <row r="19" spans="2:5" x14ac:dyDescent="0.25">
      <c r="B19" s="18" t="s">
        <v>103</v>
      </c>
      <c r="C19" s="18" t="s">
        <v>104</v>
      </c>
      <c r="D19" s="18" t="s">
        <v>90</v>
      </c>
      <c r="E19" s="19" t="s">
        <v>105</v>
      </c>
    </row>
    <row r="20" spans="2:5" x14ac:dyDescent="0.25">
      <c r="B20" s="18" t="s">
        <v>106</v>
      </c>
      <c r="C20" s="18" t="s">
        <v>107</v>
      </c>
      <c r="D20" s="18" t="s">
        <v>90</v>
      </c>
      <c r="E20" s="19" t="s">
        <v>108</v>
      </c>
    </row>
    <row r="21" spans="2:5" x14ac:dyDescent="0.25">
      <c r="B21" s="18" t="s">
        <v>109</v>
      </c>
      <c r="C21" s="18" t="s">
        <v>110</v>
      </c>
      <c r="D21" s="18" t="s">
        <v>76</v>
      </c>
      <c r="E21" s="19" t="s">
        <v>111</v>
      </c>
    </row>
    <row r="23" spans="2:5" ht="17.25" x14ac:dyDescent="0.25">
      <c r="B23" s="30" t="s">
        <v>112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3"/>
  <sheetViews>
    <sheetView workbookViewId="0">
      <selection activeCell="F23" sqref="F23"/>
    </sheetView>
  </sheetViews>
  <sheetFormatPr defaultRowHeight="15" x14ac:dyDescent="0.25"/>
  <cols>
    <col min="1" max="1" width="4.28515625" customWidth="1"/>
    <col min="2" max="2" width="13.28515625" customWidth="1"/>
    <col min="3" max="3" width="17.42578125" customWidth="1"/>
    <col min="4" max="4" width="15.140625" style="2" customWidth="1"/>
    <col min="5" max="5" width="15.85546875" style="2" customWidth="1"/>
    <col min="6" max="8" width="6.5703125" style="2" customWidth="1"/>
    <col min="9" max="9" width="6.5703125" customWidth="1"/>
    <col min="10" max="10" width="10.140625" bestFit="1" customWidth="1"/>
    <col min="11" max="11" width="13.7109375" customWidth="1"/>
    <col min="14" max="14" width="12.42578125" customWidth="1"/>
  </cols>
  <sheetData>
    <row r="1" spans="1:17" ht="26.25" x14ac:dyDescent="0.4">
      <c r="A1" s="54" t="s">
        <v>41</v>
      </c>
    </row>
    <row r="2" spans="1:17" x14ac:dyDescent="0.25">
      <c r="A2" s="58" t="s">
        <v>42</v>
      </c>
    </row>
    <row r="3" spans="1:17" x14ac:dyDescent="0.25">
      <c r="A3" s="1"/>
    </row>
    <row r="4" spans="1:17" x14ac:dyDescent="0.25">
      <c r="A4" s="1"/>
    </row>
    <row r="5" spans="1:17" x14ac:dyDescent="0.25">
      <c r="B5" s="9"/>
      <c r="C5" s="9"/>
      <c r="D5" s="10" t="s">
        <v>43</v>
      </c>
      <c r="E5" s="10" t="s">
        <v>43</v>
      </c>
      <c r="J5" s="11"/>
      <c r="K5" s="11"/>
      <c r="L5" s="11"/>
      <c r="M5" s="11"/>
      <c r="N5" s="11"/>
      <c r="O5" s="11"/>
      <c r="P5" s="11"/>
      <c r="Q5" s="11"/>
    </row>
    <row r="6" spans="1:17" x14ac:dyDescent="0.25">
      <c r="B6" s="9" t="s">
        <v>44</v>
      </c>
      <c r="C6" s="9" t="s">
        <v>45</v>
      </c>
      <c r="D6" s="10" t="s">
        <v>46</v>
      </c>
      <c r="E6" s="10" t="s">
        <v>47</v>
      </c>
      <c r="J6" s="11"/>
      <c r="K6" s="11"/>
      <c r="L6" s="11"/>
      <c r="M6" s="11"/>
      <c r="N6" s="11"/>
      <c r="O6" s="11"/>
      <c r="P6" s="12" t="s">
        <v>31</v>
      </c>
      <c r="Q6" s="12" t="s">
        <v>32</v>
      </c>
    </row>
    <row r="7" spans="1:17" x14ac:dyDescent="0.25">
      <c r="B7" s="1" t="str">
        <f t="shared" ref="B7:B37" si="0">$B$6&amp;"/"&amp;J7</f>
        <v>n.n.n.n/1</v>
      </c>
      <c r="C7" t="str">
        <f t="shared" ref="C7:C29" si="1">BIN2DEC(K7)&amp;"."&amp;BIN2DEC(M7)&amp;"."&amp;BIN2DEC(O7)&amp;"."&amp;BIN2DEC(Q7)</f>
        <v>128.0.0.0</v>
      </c>
      <c r="D7" s="8">
        <f>(2^J7)-2</f>
        <v>0</v>
      </c>
      <c r="E7" s="8">
        <f>(2^(32-J7))-2</f>
        <v>2147483646</v>
      </c>
      <c r="F7" s="6"/>
      <c r="G7" s="6"/>
      <c r="H7" s="6"/>
      <c r="J7" s="13">
        <v>1</v>
      </c>
      <c r="K7" s="14" t="str">
        <f t="shared" ref="K7:K29" si="2">IFERROR(IF(8-J7&lt;1,MID($P$6,1,J7),MID($P$6,1,J7)&amp;MID($Q$6,1,8-J7)),"00000000")</f>
        <v>10000000</v>
      </c>
      <c r="L7" s="14">
        <f t="shared" ref="L7:L29" si="3">J7-8</f>
        <v>-7</v>
      </c>
      <c r="M7" s="14" t="str">
        <f t="shared" ref="M7:M29" si="4">IFERROR(IF(8-L7&lt;1,MID($P$6,1,L7),MID($P$6,1,L7)&amp;MID($Q$6,1,8-L7)),"00000000")</f>
        <v>00000000</v>
      </c>
      <c r="N7" s="14">
        <f t="shared" ref="N7:N29" si="5">L7-8</f>
        <v>-15</v>
      </c>
      <c r="O7" s="14" t="str">
        <f t="shared" ref="O7:O29" si="6">IFERROR(IF(8-N7&lt;1,MID($P$6,1,N7),MID($P$6,1,N7)&amp;MID($Q$6,1,8-N7)),"00000000")</f>
        <v>00000000</v>
      </c>
      <c r="P7" s="14">
        <f t="shared" ref="P7:P29" si="7">N7-8</f>
        <v>-23</v>
      </c>
      <c r="Q7" s="14" t="str">
        <f t="shared" ref="Q7:Q29" si="8">IFERROR(IF(8-P7&lt;1,MID($P$6,1,P7),MID($P$6,1,P7)&amp;MID($Q$6,1,8-P7)),"00000000")</f>
        <v>00000000</v>
      </c>
    </row>
    <row r="8" spans="1:17" x14ac:dyDescent="0.25">
      <c r="B8" s="1" t="str">
        <f t="shared" si="0"/>
        <v>n.n.n.n/2</v>
      </c>
      <c r="C8" t="str">
        <f t="shared" si="1"/>
        <v>192.0.0.0</v>
      </c>
      <c r="D8" s="8">
        <f t="shared" ref="D8:D37" si="9">(2^J8)-2</f>
        <v>2</v>
      </c>
      <c r="E8" s="8">
        <f t="shared" ref="E8:E37" si="10">(2^(32-J8))-2</f>
        <v>1073741822</v>
      </c>
      <c r="F8" s="6"/>
      <c r="G8" s="6"/>
      <c r="H8" s="6"/>
      <c r="J8" s="13">
        <v>2</v>
      </c>
      <c r="K8" s="14" t="str">
        <f t="shared" si="2"/>
        <v>11000000</v>
      </c>
      <c r="L8" s="14">
        <f t="shared" si="3"/>
        <v>-6</v>
      </c>
      <c r="M8" s="14" t="str">
        <f t="shared" si="4"/>
        <v>00000000</v>
      </c>
      <c r="N8" s="14">
        <f t="shared" si="5"/>
        <v>-14</v>
      </c>
      <c r="O8" s="14" t="str">
        <f t="shared" si="6"/>
        <v>00000000</v>
      </c>
      <c r="P8" s="14">
        <f t="shared" si="7"/>
        <v>-22</v>
      </c>
      <c r="Q8" s="14" t="str">
        <f t="shared" si="8"/>
        <v>00000000</v>
      </c>
    </row>
    <row r="9" spans="1:17" x14ac:dyDescent="0.25">
      <c r="B9" s="1" t="str">
        <f t="shared" si="0"/>
        <v>n.n.n.n/3</v>
      </c>
      <c r="C9" t="str">
        <f t="shared" si="1"/>
        <v>224.0.0.0</v>
      </c>
      <c r="D9" s="8">
        <f t="shared" si="9"/>
        <v>6</v>
      </c>
      <c r="E9" s="8">
        <f t="shared" si="10"/>
        <v>536870910</v>
      </c>
      <c r="F9" s="6"/>
      <c r="G9" s="6"/>
      <c r="H9" s="6"/>
      <c r="J9" s="13">
        <v>3</v>
      </c>
      <c r="K9" s="14" t="str">
        <f t="shared" si="2"/>
        <v>11100000</v>
      </c>
      <c r="L9" s="14">
        <f t="shared" si="3"/>
        <v>-5</v>
      </c>
      <c r="M9" s="14" t="str">
        <f t="shared" si="4"/>
        <v>00000000</v>
      </c>
      <c r="N9" s="14">
        <f t="shared" si="5"/>
        <v>-13</v>
      </c>
      <c r="O9" s="14" t="str">
        <f t="shared" si="6"/>
        <v>00000000</v>
      </c>
      <c r="P9" s="14">
        <f t="shared" si="7"/>
        <v>-21</v>
      </c>
      <c r="Q9" s="14" t="str">
        <f t="shared" si="8"/>
        <v>00000000</v>
      </c>
    </row>
    <row r="10" spans="1:17" x14ac:dyDescent="0.25">
      <c r="B10" s="1" t="str">
        <f t="shared" si="0"/>
        <v>n.n.n.n/4</v>
      </c>
      <c r="C10" t="str">
        <f t="shared" si="1"/>
        <v>240.0.0.0</v>
      </c>
      <c r="D10" s="8">
        <f t="shared" si="9"/>
        <v>14</v>
      </c>
      <c r="E10" s="8">
        <f t="shared" si="10"/>
        <v>268435454</v>
      </c>
      <c r="F10" s="6"/>
      <c r="G10" s="6"/>
      <c r="H10" s="6"/>
      <c r="J10" s="13">
        <v>4</v>
      </c>
      <c r="K10" s="14" t="str">
        <f t="shared" si="2"/>
        <v>11110000</v>
      </c>
      <c r="L10" s="14">
        <f t="shared" si="3"/>
        <v>-4</v>
      </c>
      <c r="M10" s="14" t="str">
        <f t="shared" si="4"/>
        <v>00000000</v>
      </c>
      <c r="N10" s="14">
        <f t="shared" si="5"/>
        <v>-12</v>
      </c>
      <c r="O10" s="14" t="str">
        <f t="shared" si="6"/>
        <v>00000000</v>
      </c>
      <c r="P10" s="14">
        <f t="shared" si="7"/>
        <v>-20</v>
      </c>
      <c r="Q10" s="14" t="str">
        <f t="shared" si="8"/>
        <v>00000000</v>
      </c>
    </row>
    <row r="11" spans="1:17" x14ac:dyDescent="0.25">
      <c r="B11" s="1" t="str">
        <f t="shared" si="0"/>
        <v>n.n.n.n/5</v>
      </c>
      <c r="C11" t="str">
        <f t="shared" si="1"/>
        <v>248.0.0.0</v>
      </c>
      <c r="D11" s="8">
        <f t="shared" si="9"/>
        <v>30</v>
      </c>
      <c r="E11" s="8">
        <f t="shared" si="10"/>
        <v>134217726</v>
      </c>
      <c r="F11" s="6"/>
      <c r="G11" s="6"/>
      <c r="H11" s="6"/>
      <c r="J11" s="13">
        <v>5</v>
      </c>
      <c r="K11" s="14" t="str">
        <f t="shared" si="2"/>
        <v>11111000</v>
      </c>
      <c r="L11" s="14">
        <f t="shared" si="3"/>
        <v>-3</v>
      </c>
      <c r="M11" s="14" t="str">
        <f t="shared" si="4"/>
        <v>00000000</v>
      </c>
      <c r="N11" s="14">
        <f t="shared" si="5"/>
        <v>-11</v>
      </c>
      <c r="O11" s="14" t="str">
        <f t="shared" si="6"/>
        <v>00000000</v>
      </c>
      <c r="P11" s="14">
        <f t="shared" si="7"/>
        <v>-19</v>
      </c>
      <c r="Q11" s="14" t="str">
        <f t="shared" si="8"/>
        <v>00000000</v>
      </c>
    </row>
    <row r="12" spans="1:17" x14ac:dyDescent="0.25">
      <c r="B12" s="1" t="str">
        <f t="shared" si="0"/>
        <v>n.n.n.n/6</v>
      </c>
      <c r="C12" t="str">
        <f t="shared" si="1"/>
        <v>252.0.0.0</v>
      </c>
      <c r="D12" s="8">
        <f t="shared" si="9"/>
        <v>62</v>
      </c>
      <c r="E12" s="8">
        <f t="shared" si="10"/>
        <v>67108862</v>
      </c>
      <c r="F12" s="6"/>
      <c r="G12" s="6"/>
      <c r="H12" s="6"/>
      <c r="J12" s="13">
        <v>6</v>
      </c>
      <c r="K12" s="14" t="str">
        <f t="shared" si="2"/>
        <v>11111100</v>
      </c>
      <c r="L12" s="14">
        <f t="shared" si="3"/>
        <v>-2</v>
      </c>
      <c r="M12" s="14" t="str">
        <f t="shared" si="4"/>
        <v>00000000</v>
      </c>
      <c r="N12" s="14">
        <f t="shared" si="5"/>
        <v>-10</v>
      </c>
      <c r="O12" s="14" t="str">
        <f t="shared" si="6"/>
        <v>00000000</v>
      </c>
      <c r="P12" s="14">
        <f t="shared" si="7"/>
        <v>-18</v>
      </c>
      <c r="Q12" s="14" t="str">
        <f t="shared" si="8"/>
        <v>00000000</v>
      </c>
    </row>
    <row r="13" spans="1:17" x14ac:dyDescent="0.25">
      <c r="B13" s="1" t="str">
        <f t="shared" si="0"/>
        <v>n.n.n.n/7</v>
      </c>
      <c r="C13" t="str">
        <f t="shared" si="1"/>
        <v>254.0.0.0</v>
      </c>
      <c r="D13" s="8">
        <f t="shared" si="9"/>
        <v>126</v>
      </c>
      <c r="E13" s="8">
        <f t="shared" si="10"/>
        <v>33554430</v>
      </c>
      <c r="F13" s="6"/>
      <c r="G13" s="6"/>
      <c r="H13" s="6"/>
      <c r="J13" s="13">
        <v>7</v>
      </c>
      <c r="K13" s="14" t="str">
        <f t="shared" si="2"/>
        <v>11111110</v>
      </c>
      <c r="L13" s="14">
        <f t="shared" si="3"/>
        <v>-1</v>
      </c>
      <c r="M13" s="14" t="str">
        <f t="shared" si="4"/>
        <v>00000000</v>
      </c>
      <c r="N13" s="14">
        <f t="shared" si="5"/>
        <v>-9</v>
      </c>
      <c r="O13" s="14" t="str">
        <f t="shared" si="6"/>
        <v>00000000</v>
      </c>
      <c r="P13" s="14">
        <f t="shared" si="7"/>
        <v>-17</v>
      </c>
      <c r="Q13" s="14" t="str">
        <f t="shared" si="8"/>
        <v>00000000</v>
      </c>
    </row>
    <row r="14" spans="1:17" x14ac:dyDescent="0.25">
      <c r="B14" s="1" t="str">
        <f t="shared" si="0"/>
        <v>n.n.n.n/8</v>
      </c>
      <c r="C14" t="str">
        <f t="shared" si="1"/>
        <v>255.0.0.0</v>
      </c>
      <c r="D14" s="8">
        <f t="shared" si="9"/>
        <v>254</v>
      </c>
      <c r="E14" s="8">
        <f t="shared" si="10"/>
        <v>16777214</v>
      </c>
      <c r="F14" s="61" t="s">
        <v>134</v>
      </c>
      <c r="G14" s="6"/>
      <c r="H14" s="6"/>
      <c r="J14" s="13">
        <v>8</v>
      </c>
      <c r="K14" s="14" t="str">
        <f t="shared" si="2"/>
        <v>11111111</v>
      </c>
      <c r="L14" s="14">
        <f t="shared" si="3"/>
        <v>0</v>
      </c>
      <c r="M14" s="14" t="str">
        <f t="shared" si="4"/>
        <v>00000000</v>
      </c>
      <c r="N14" s="14">
        <f t="shared" si="5"/>
        <v>-8</v>
      </c>
      <c r="O14" s="14" t="str">
        <f t="shared" si="6"/>
        <v>00000000</v>
      </c>
      <c r="P14" s="14">
        <f t="shared" si="7"/>
        <v>-16</v>
      </c>
      <c r="Q14" s="14" t="str">
        <f t="shared" si="8"/>
        <v>00000000</v>
      </c>
    </row>
    <row r="15" spans="1:17" x14ac:dyDescent="0.25">
      <c r="B15" s="1" t="str">
        <f t="shared" si="0"/>
        <v>n.n.n.n/9</v>
      </c>
      <c r="C15" t="str">
        <f t="shared" si="1"/>
        <v>255.128.0.0</v>
      </c>
      <c r="D15" s="8">
        <f t="shared" si="9"/>
        <v>510</v>
      </c>
      <c r="E15" s="8">
        <f t="shared" si="10"/>
        <v>8388606</v>
      </c>
      <c r="F15" s="6"/>
      <c r="G15" s="6"/>
      <c r="H15" s="6"/>
      <c r="J15" s="13">
        <v>9</v>
      </c>
      <c r="K15" s="14" t="str">
        <f t="shared" si="2"/>
        <v>11111111</v>
      </c>
      <c r="L15" s="14">
        <f t="shared" si="3"/>
        <v>1</v>
      </c>
      <c r="M15" s="14" t="str">
        <f t="shared" si="4"/>
        <v>10000000</v>
      </c>
      <c r="N15" s="14">
        <f t="shared" si="5"/>
        <v>-7</v>
      </c>
      <c r="O15" s="14" t="str">
        <f t="shared" si="6"/>
        <v>00000000</v>
      </c>
      <c r="P15" s="14">
        <f t="shared" si="7"/>
        <v>-15</v>
      </c>
      <c r="Q15" s="14" t="str">
        <f t="shared" si="8"/>
        <v>00000000</v>
      </c>
    </row>
    <row r="16" spans="1:17" x14ac:dyDescent="0.25">
      <c r="B16" s="1" t="str">
        <f t="shared" si="0"/>
        <v>n.n.n.n/10</v>
      </c>
      <c r="C16" t="str">
        <f t="shared" si="1"/>
        <v>255.192.0.0</v>
      </c>
      <c r="D16" s="8">
        <f t="shared" si="9"/>
        <v>1022</v>
      </c>
      <c r="E16" s="8">
        <f t="shared" si="10"/>
        <v>4194302</v>
      </c>
      <c r="F16" s="6"/>
      <c r="G16" s="6"/>
      <c r="H16" s="6"/>
      <c r="J16" s="13">
        <v>10</v>
      </c>
      <c r="K16" s="14" t="str">
        <f t="shared" si="2"/>
        <v>11111111</v>
      </c>
      <c r="L16" s="14">
        <f t="shared" si="3"/>
        <v>2</v>
      </c>
      <c r="M16" s="14" t="str">
        <f t="shared" si="4"/>
        <v>11000000</v>
      </c>
      <c r="N16" s="14">
        <f t="shared" si="5"/>
        <v>-6</v>
      </c>
      <c r="O16" s="14" t="str">
        <f t="shared" si="6"/>
        <v>00000000</v>
      </c>
      <c r="P16" s="14">
        <f t="shared" si="7"/>
        <v>-14</v>
      </c>
      <c r="Q16" s="14" t="str">
        <f t="shared" si="8"/>
        <v>00000000</v>
      </c>
    </row>
    <row r="17" spans="2:17" x14ac:dyDescent="0.25">
      <c r="B17" s="1" t="str">
        <f t="shared" si="0"/>
        <v>n.n.n.n/11</v>
      </c>
      <c r="C17" t="str">
        <f t="shared" si="1"/>
        <v>255.224.0.0</v>
      </c>
      <c r="D17" s="8">
        <f t="shared" si="9"/>
        <v>2046</v>
      </c>
      <c r="E17" s="8">
        <f t="shared" si="10"/>
        <v>2097150</v>
      </c>
      <c r="F17" s="6"/>
      <c r="G17" s="6"/>
      <c r="H17" s="6"/>
      <c r="J17" s="13">
        <v>11</v>
      </c>
      <c r="K17" s="14" t="str">
        <f t="shared" si="2"/>
        <v>11111111</v>
      </c>
      <c r="L17" s="14">
        <f t="shared" si="3"/>
        <v>3</v>
      </c>
      <c r="M17" s="14" t="str">
        <f t="shared" si="4"/>
        <v>11100000</v>
      </c>
      <c r="N17" s="14">
        <f t="shared" si="5"/>
        <v>-5</v>
      </c>
      <c r="O17" s="14" t="str">
        <f t="shared" si="6"/>
        <v>00000000</v>
      </c>
      <c r="P17" s="14">
        <f t="shared" si="7"/>
        <v>-13</v>
      </c>
      <c r="Q17" s="14" t="str">
        <f t="shared" si="8"/>
        <v>00000000</v>
      </c>
    </row>
    <row r="18" spans="2:17" x14ac:dyDescent="0.25">
      <c r="B18" s="1" t="str">
        <f t="shared" si="0"/>
        <v>n.n.n.n/12</v>
      </c>
      <c r="C18" t="str">
        <f t="shared" si="1"/>
        <v>255.240.0.0</v>
      </c>
      <c r="D18" s="8">
        <f t="shared" si="9"/>
        <v>4094</v>
      </c>
      <c r="E18" s="8">
        <f t="shared" si="10"/>
        <v>1048574</v>
      </c>
      <c r="F18" s="61" t="s">
        <v>135</v>
      </c>
      <c r="G18" s="6"/>
      <c r="H18" s="6"/>
      <c r="J18" s="13">
        <v>12</v>
      </c>
      <c r="K18" s="14" t="str">
        <f t="shared" si="2"/>
        <v>11111111</v>
      </c>
      <c r="L18" s="14">
        <f t="shared" si="3"/>
        <v>4</v>
      </c>
      <c r="M18" s="14" t="str">
        <f t="shared" si="4"/>
        <v>11110000</v>
      </c>
      <c r="N18" s="14">
        <f t="shared" si="5"/>
        <v>-4</v>
      </c>
      <c r="O18" s="14" t="str">
        <f t="shared" si="6"/>
        <v>00000000</v>
      </c>
      <c r="P18" s="14">
        <f t="shared" si="7"/>
        <v>-12</v>
      </c>
      <c r="Q18" s="14" t="str">
        <f t="shared" si="8"/>
        <v>00000000</v>
      </c>
    </row>
    <row r="19" spans="2:17" x14ac:dyDescent="0.25">
      <c r="B19" s="1" t="str">
        <f t="shared" si="0"/>
        <v>n.n.n.n/13</v>
      </c>
      <c r="C19" t="str">
        <f t="shared" si="1"/>
        <v>255.248.0.0</v>
      </c>
      <c r="D19" s="8">
        <f t="shared" si="9"/>
        <v>8190</v>
      </c>
      <c r="E19" s="8">
        <f t="shared" si="10"/>
        <v>524286</v>
      </c>
      <c r="F19" s="6"/>
      <c r="G19" s="6"/>
      <c r="H19" s="6"/>
      <c r="J19" s="13">
        <v>13</v>
      </c>
      <c r="K19" s="14" t="str">
        <f t="shared" si="2"/>
        <v>11111111</v>
      </c>
      <c r="L19" s="14">
        <f t="shared" si="3"/>
        <v>5</v>
      </c>
      <c r="M19" s="14" t="str">
        <f t="shared" si="4"/>
        <v>11111000</v>
      </c>
      <c r="N19" s="14">
        <f t="shared" si="5"/>
        <v>-3</v>
      </c>
      <c r="O19" s="14" t="str">
        <f t="shared" si="6"/>
        <v>00000000</v>
      </c>
      <c r="P19" s="14">
        <f t="shared" si="7"/>
        <v>-11</v>
      </c>
      <c r="Q19" s="14" t="str">
        <f t="shared" si="8"/>
        <v>00000000</v>
      </c>
    </row>
    <row r="20" spans="2:17" x14ac:dyDescent="0.25">
      <c r="B20" s="1" t="str">
        <f t="shared" si="0"/>
        <v>n.n.n.n/14</v>
      </c>
      <c r="C20" t="str">
        <f t="shared" si="1"/>
        <v>255.252.0.0</v>
      </c>
      <c r="D20" s="8">
        <f t="shared" si="9"/>
        <v>16382</v>
      </c>
      <c r="E20" s="8">
        <f t="shared" si="10"/>
        <v>262142</v>
      </c>
      <c r="F20" s="6"/>
      <c r="G20" s="6"/>
      <c r="H20" s="6"/>
      <c r="J20" s="13">
        <v>14</v>
      </c>
      <c r="K20" s="14" t="str">
        <f t="shared" si="2"/>
        <v>11111111</v>
      </c>
      <c r="L20" s="14">
        <f t="shared" si="3"/>
        <v>6</v>
      </c>
      <c r="M20" s="14" t="str">
        <f t="shared" si="4"/>
        <v>11111100</v>
      </c>
      <c r="N20" s="14">
        <f t="shared" si="5"/>
        <v>-2</v>
      </c>
      <c r="O20" s="14" t="str">
        <f t="shared" si="6"/>
        <v>00000000</v>
      </c>
      <c r="P20" s="14">
        <f t="shared" si="7"/>
        <v>-10</v>
      </c>
      <c r="Q20" s="14" t="str">
        <f t="shared" si="8"/>
        <v>00000000</v>
      </c>
    </row>
    <row r="21" spans="2:17" x14ac:dyDescent="0.25">
      <c r="B21" s="1" t="str">
        <f t="shared" si="0"/>
        <v>n.n.n.n/15</v>
      </c>
      <c r="C21" t="str">
        <f t="shared" si="1"/>
        <v>255.254.0.0</v>
      </c>
      <c r="D21" s="8">
        <f t="shared" si="9"/>
        <v>32766</v>
      </c>
      <c r="E21" s="8">
        <f t="shared" si="10"/>
        <v>131070</v>
      </c>
      <c r="F21" s="6"/>
      <c r="G21" s="6"/>
      <c r="H21" s="6"/>
      <c r="J21" s="13">
        <v>15</v>
      </c>
      <c r="K21" s="14" t="str">
        <f t="shared" si="2"/>
        <v>11111111</v>
      </c>
      <c r="L21" s="14">
        <f t="shared" si="3"/>
        <v>7</v>
      </c>
      <c r="M21" s="14" t="str">
        <f t="shared" si="4"/>
        <v>11111110</v>
      </c>
      <c r="N21" s="14">
        <f t="shared" si="5"/>
        <v>-1</v>
      </c>
      <c r="O21" s="14" t="str">
        <f t="shared" si="6"/>
        <v>00000000</v>
      </c>
      <c r="P21" s="14">
        <f t="shared" si="7"/>
        <v>-9</v>
      </c>
      <c r="Q21" s="14" t="str">
        <f t="shared" si="8"/>
        <v>00000000</v>
      </c>
    </row>
    <row r="22" spans="2:17" x14ac:dyDescent="0.25">
      <c r="B22" s="1" t="str">
        <f t="shared" si="0"/>
        <v>n.n.n.n/16</v>
      </c>
      <c r="C22" t="str">
        <f t="shared" si="1"/>
        <v>255.255.0.0</v>
      </c>
      <c r="D22" s="8">
        <f t="shared" si="9"/>
        <v>65534</v>
      </c>
      <c r="E22" s="8">
        <f t="shared" si="10"/>
        <v>65534</v>
      </c>
      <c r="F22" s="61" t="s">
        <v>136</v>
      </c>
      <c r="G22" s="6"/>
      <c r="H22" s="6"/>
      <c r="J22" s="13">
        <v>16</v>
      </c>
      <c r="K22" s="14" t="str">
        <f t="shared" si="2"/>
        <v>11111111</v>
      </c>
      <c r="L22" s="14">
        <f t="shared" si="3"/>
        <v>8</v>
      </c>
      <c r="M22" s="14" t="str">
        <f t="shared" si="4"/>
        <v>11111111</v>
      </c>
      <c r="N22" s="14">
        <f t="shared" si="5"/>
        <v>0</v>
      </c>
      <c r="O22" s="14" t="str">
        <f t="shared" si="6"/>
        <v>00000000</v>
      </c>
      <c r="P22" s="14">
        <f t="shared" si="7"/>
        <v>-8</v>
      </c>
      <c r="Q22" s="14" t="str">
        <f t="shared" si="8"/>
        <v>00000000</v>
      </c>
    </row>
    <row r="23" spans="2:17" x14ac:dyDescent="0.25">
      <c r="B23" s="1" t="str">
        <f t="shared" si="0"/>
        <v>n.n.n.n/17</v>
      </c>
      <c r="C23" t="str">
        <f t="shared" si="1"/>
        <v>255.255.128.0</v>
      </c>
      <c r="D23" s="8">
        <f t="shared" si="9"/>
        <v>131070</v>
      </c>
      <c r="E23" s="8">
        <f t="shared" si="10"/>
        <v>32766</v>
      </c>
      <c r="F23" s="6"/>
      <c r="G23" s="6"/>
      <c r="H23" s="6"/>
      <c r="J23" s="13">
        <v>17</v>
      </c>
      <c r="K23" s="14" t="str">
        <f t="shared" si="2"/>
        <v>11111111</v>
      </c>
      <c r="L23" s="14">
        <f t="shared" si="3"/>
        <v>9</v>
      </c>
      <c r="M23" s="14" t="str">
        <f t="shared" si="4"/>
        <v>11111111</v>
      </c>
      <c r="N23" s="14">
        <f t="shared" si="5"/>
        <v>1</v>
      </c>
      <c r="O23" s="14" t="str">
        <f t="shared" si="6"/>
        <v>10000000</v>
      </c>
      <c r="P23" s="14">
        <f t="shared" si="7"/>
        <v>-7</v>
      </c>
      <c r="Q23" s="14" t="str">
        <f t="shared" si="8"/>
        <v>00000000</v>
      </c>
    </row>
    <row r="24" spans="2:17" x14ac:dyDescent="0.25">
      <c r="B24" s="1" t="str">
        <f t="shared" si="0"/>
        <v>n.n.n.n/18</v>
      </c>
      <c r="C24" t="str">
        <f t="shared" si="1"/>
        <v>255.255.192.0</v>
      </c>
      <c r="D24" s="8">
        <f t="shared" si="9"/>
        <v>262142</v>
      </c>
      <c r="E24" s="8">
        <f t="shared" si="10"/>
        <v>16382</v>
      </c>
      <c r="F24" s="6"/>
      <c r="G24" s="6"/>
      <c r="H24" s="6"/>
      <c r="J24" s="13">
        <v>18</v>
      </c>
      <c r="K24" s="14" t="str">
        <f t="shared" si="2"/>
        <v>11111111</v>
      </c>
      <c r="L24" s="14">
        <f t="shared" si="3"/>
        <v>10</v>
      </c>
      <c r="M24" s="14" t="str">
        <f t="shared" si="4"/>
        <v>11111111</v>
      </c>
      <c r="N24" s="14">
        <f t="shared" si="5"/>
        <v>2</v>
      </c>
      <c r="O24" s="14" t="str">
        <f t="shared" si="6"/>
        <v>11000000</v>
      </c>
      <c r="P24" s="14">
        <f t="shared" si="7"/>
        <v>-6</v>
      </c>
      <c r="Q24" s="14" t="str">
        <f t="shared" si="8"/>
        <v>00000000</v>
      </c>
    </row>
    <row r="25" spans="2:17" x14ac:dyDescent="0.25">
      <c r="B25" s="1" t="str">
        <f t="shared" si="0"/>
        <v>n.n.n.n/19</v>
      </c>
      <c r="C25" t="str">
        <f t="shared" si="1"/>
        <v>255.255.224.0</v>
      </c>
      <c r="D25" s="8">
        <f t="shared" si="9"/>
        <v>524286</v>
      </c>
      <c r="E25" s="8">
        <f t="shared" si="10"/>
        <v>8190</v>
      </c>
      <c r="F25" s="6"/>
      <c r="G25" s="6"/>
      <c r="H25" s="6"/>
      <c r="J25" s="13">
        <v>19</v>
      </c>
      <c r="K25" s="14" t="str">
        <f t="shared" si="2"/>
        <v>11111111</v>
      </c>
      <c r="L25" s="14">
        <f t="shared" si="3"/>
        <v>11</v>
      </c>
      <c r="M25" s="14" t="str">
        <f t="shared" si="4"/>
        <v>11111111</v>
      </c>
      <c r="N25" s="14">
        <f t="shared" si="5"/>
        <v>3</v>
      </c>
      <c r="O25" s="14" t="str">
        <f t="shared" si="6"/>
        <v>11100000</v>
      </c>
      <c r="P25" s="14">
        <f t="shared" si="7"/>
        <v>-5</v>
      </c>
      <c r="Q25" s="14" t="str">
        <f t="shared" si="8"/>
        <v>00000000</v>
      </c>
    </row>
    <row r="26" spans="2:17" x14ac:dyDescent="0.25">
      <c r="B26" s="1" t="str">
        <f t="shared" si="0"/>
        <v>n.n.n.n/20</v>
      </c>
      <c r="C26" t="str">
        <f t="shared" si="1"/>
        <v>255.255.240.0</v>
      </c>
      <c r="D26" s="8">
        <f t="shared" si="9"/>
        <v>1048574</v>
      </c>
      <c r="E26" s="8">
        <f t="shared" si="10"/>
        <v>4094</v>
      </c>
      <c r="F26" s="6"/>
      <c r="G26" s="6"/>
      <c r="H26" s="6"/>
      <c r="J26" s="13">
        <v>20</v>
      </c>
      <c r="K26" s="14" t="str">
        <f t="shared" si="2"/>
        <v>11111111</v>
      </c>
      <c r="L26" s="14">
        <f t="shared" si="3"/>
        <v>12</v>
      </c>
      <c r="M26" s="14" t="str">
        <f t="shared" si="4"/>
        <v>11111111</v>
      </c>
      <c r="N26" s="14">
        <f t="shared" si="5"/>
        <v>4</v>
      </c>
      <c r="O26" s="14" t="str">
        <f t="shared" si="6"/>
        <v>11110000</v>
      </c>
      <c r="P26" s="14">
        <f t="shared" si="7"/>
        <v>-4</v>
      </c>
      <c r="Q26" s="14" t="str">
        <f t="shared" si="8"/>
        <v>00000000</v>
      </c>
    </row>
    <row r="27" spans="2:17" x14ac:dyDescent="0.25">
      <c r="B27" s="1" t="str">
        <f t="shared" si="0"/>
        <v>n.n.n.n/21</v>
      </c>
      <c r="C27" t="str">
        <f t="shared" si="1"/>
        <v>255.255.248.0</v>
      </c>
      <c r="D27" s="8">
        <f t="shared" si="9"/>
        <v>2097150</v>
      </c>
      <c r="E27" s="8">
        <f t="shared" si="10"/>
        <v>2046</v>
      </c>
      <c r="F27" s="6"/>
      <c r="G27" s="6"/>
      <c r="H27" s="6"/>
      <c r="J27" s="13">
        <v>21</v>
      </c>
      <c r="K27" s="14" t="str">
        <f t="shared" si="2"/>
        <v>11111111</v>
      </c>
      <c r="L27" s="14">
        <f t="shared" si="3"/>
        <v>13</v>
      </c>
      <c r="M27" s="14" t="str">
        <f t="shared" si="4"/>
        <v>11111111</v>
      </c>
      <c r="N27" s="14">
        <f t="shared" si="5"/>
        <v>5</v>
      </c>
      <c r="O27" s="14" t="str">
        <f t="shared" si="6"/>
        <v>11111000</v>
      </c>
      <c r="P27" s="14">
        <f t="shared" si="7"/>
        <v>-3</v>
      </c>
      <c r="Q27" s="14" t="str">
        <f t="shared" si="8"/>
        <v>00000000</v>
      </c>
    </row>
    <row r="28" spans="2:17" x14ac:dyDescent="0.25">
      <c r="B28" s="1" t="str">
        <f t="shared" si="0"/>
        <v>n.n.n.n/22</v>
      </c>
      <c r="C28" t="str">
        <f t="shared" si="1"/>
        <v>255.255.252.0</v>
      </c>
      <c r="D28" s="8">
        <f t="shared" si="9"/>
        <v>4194302</v>
      </c>
      <c r="E28" s="8">
        <f t="shared" si="10"/>
        <v>1022</v>
      </c>
      <c r="F28" s="6"/>
      <c r="G28" s="6"/>
      <c r="H28" s="6"/>
      <c r="J28" s="13">
        <v>22</v>
      </c>
      <c r="K28" s="14" t="str">
        <f t="shared" si="2"/>
        <v>11111111</v>
      </c>
      <c r="L28" s="14">
        <f t="shared" si="3"/>
        <v>14</v>
      </c>
      <c r="M28" s="14" t="str">
        <f t="shared" si="4"/>
        <v>11111111</v>
      </c>
      <c r="N28" s="14">
        <f t="shared" si="5"/>
        <v>6</v>
      </c>
      <c r="O28" s="14" t="str">
        <f t="shared" si="6"/>
        <v>11111100</v>
      </c>
      <c r="P28" s="14">
        <f t="shared" si="7"/>
        <v>-2</v>
      </c>
      <c r="Q28" s="14" t="str">
        <f t="shared" si="8"/>
        <v>00000000</v>
      </c>
    </row>
    <row r="29" spans="2:17" x14ac:dyDescent="0.25">
      <c r="B29" s="1" t="str">
        <f t="shared" si="0"/>
        <v>n.n.n.n/23</v>
      </c>
      <c r="C29" t="str">
        <f t="shared" si="1"/>
        <v>255.255.254.0</v>
      </c>
      <c r="D29" s="8">
        <f t="shared" si="9"/>
        <v>8388606</v>
      </c>
      <c r="E29" s="8">
        <f t="shared" si="10"/>
        <v>510</v>
      </c>
      <c r="F29" s="6"/>
      <c r="G29" s="6"/>
      <c r="H29" s="6"/>
      <c r="J29" s="13">
        <v>23</v>
      </c>
      <c r="K29" s="14" t="str">
        <f t="shared" si="2"/>
        <v>11111111</v>
      </c>
      <c r="L29" s="14">
        <f t="shared" si="3"/>
        <v>15</v>
      </c>
      <c r="M29" s="14" t="str">
        <f t="shared" si="4"/>
        <v>11111111</v>
      </c>
      <c r="N29" s="14">
        <f t="shared" si="5"/>
        <v>7</v>
      </c>
      <c r="O29" s="14" t="str">
        <f t="shared" si="6"/>
        <v>11111110</v>
      </c>
      <c r="P29" s="14">
        <f t="shared" si="7"/>
        <v>-1</v>
      </c>
      <c r="Q29" s="14" t="str">
        <f t="shared" si="8"/>
        <v>00000000</v>
      </c>
    </row>
    <row r="30" spans="2:17" x14ac:dyDescent="0.25">
      <c r="B30" s="1" t="str">
        <f t="shared" si="0"/>
        <v>n.n.n.n/24</v>
      </c>
      <c r="C30" t="str">
        <f>BIN2DEC(K30)&amp;"."&amp;BIN2DEC(M30)&amp;"."&amp;BIN2DEC(O30)&amp;"."&amp;BIN2DEC(Q30)</f>
        <v>255.255.255.0</v>
      </c>
      <c r="D30" s="8">
        <f t="shared" si="9"/>
        <v>16777214</v>
      </c>
      <c r="E30" s="8">
        <f t="shared" si="10"/>
        <v>254</v>
      </c>
      <c r="F30" s="61" t="s">
        <v>133</v>
      </c>
      <c r="G30" s="6"/>
      <c r="H30" s="6"/>
      <c r="J30" s="13">
        <v>24</v>
      </c>
      <c r="K30" s="14" t="str">
        <f>IFERROR(IF(8-J30&lt;1,MID($P$6,1,J30),MID($P$6,1,J30)&amp;MID($Q$6,1,8-J30)),"00000000")</f>
        <v>11111111</v>
      </c>
      <c r="L30" s="14">
        <f t="shared" ref="L30" si="11">J30-8</f>
        <v>16</v>
      </c>
      <c r="M30" s="14" t="str">
        <f>IFERROR(IF(8-L30&lt;1,MID($P$6,1,L30),MID($P$6,1,L30)&amp;MID($Q$6,1,8-L30)),"00000000")</f>
        <v>11111111</v>
      </c>
      <c r="N30" s="14">
        <f t="shared" ref="N30" si="12">L30-8</f>
        <v>8</v>
      </c>
      <c r="O30" s="14" t="str">
        <f>IFERROR(IF(8-N30&lt;1,MID($P$6,1,N30),MID($P$6,1,N30)&amp;MID($Q$6,1,8-N30)),"00000000")</f>
        <v>11111111</v>
      </c>
      <c r="P30" s="14">
        <f t="shared" ref="P30" si="13">N30-8</f>
        <v>0</v>
      </c>
      <c r="Q30" s="14" t="str">
        <f>IFERROR(IF(8-P30&lt;1,MID($P$6,1,P30),MID($P$6,1,P30)&amp;MID($Q$6,1,8-P30)),"00000000")</f>
        <v>00000000</v>
      </c>
    </row>
    <row r="31" spans="2:17" x14ac:dyDescent="0.25">
      <c r="B31" s="1" t="str">
        <f t="shared" si="0"/>
        <v>n.n.n.n/25</v>
      </c>
      <c r="C31" t="str">
        <f t="shared" ref="C31:C37" si="14">BIN2DEC(K31)&amp;"."&amp;BIN2DEC(M31)&amp;"."&amp;BIN2DEC(O31)&amp;"."&amp;BIN2DEC(Q31)</f>
        <v>255.255.255.128</v>
      </c>
      <c r="D31" s="8">
        <f t="shared" si="9"/>
        <v>33554430</v>
      </c>
      <c r="E31" s="8">
        <f t="shared" si="10"/>
        <v>126</v>
      </c>
      <c r="F31" s="6"/>
      <c r="G31" s="6"/>
      <c r="H31" s="6"/>
      <c r="J31" s="13">
        <v>25</v>
      </c>
      <c r="K31" s="14" t="str">
        <f t="shared" ref="K31:K37" si="15">IFERROR(IF(8-J31&lt;1,MID($P$6,1,J31),MID($P$6,1,J31)&amp;MID($Q$6,1,8-J31)),"00000000")</f>
        <v>11111111</v>
      </c>
      <c r="L31" s="14">
        <f t="shared" ref="L31:L37" si="16">J31-8</f>
        <v>17</v>
      </c>
      <c r="M31" s="14" t="str">
        <f t="shared" ref="M31:M37" si="17">IFERROR(IF(8-L31&lt;1,MID($P$6,1,L31),MID($P$6,1,L31)&amp;MID($Q$6,1,8-L31)),"00000000")</f>
        <v>11111111</v>
      </c>
      <c r="N31" s="14">
        <f t="shared" ref="N31:N37" si="18">L31-8</f>
        <v>9</v>
      </c>
      <c r="O31" s="14" t="str">
        <f t="shared" ref="O31:O37" si="19">IFERROR(IF(8-N31&lt;1,MID($P$6,1,N31),MID($P$6,1,N31)&amp;MID($Q$6,1,8-N31)),"00000000")</f>
        <v>11111111</v>
      </c>
      <c r="P31" s="14">
        <f t="shared" ref="P31:P37" si="20">N31-8</f>
        <v>1</v>
      </c>
      <c r="Q31" s="14" t="str">
        <f t="shared" ref="Q31:Q37" si="21">IFERROR(IF(8-P31&lt;1,MID($P$6,1,P31),MID($P$6,1,P31)&amp;MID($Q$6,1,8-P31)),"00000000")</f>
        <v>10000000</v>
      </c>
    </row>
    <row r="32" spans="2:17" x14ac:dyDescent="0.25">
      <c r="B32" s="1" t="str">
        <f t="shared" si="0"/>
        <v>n.n.n.n/26</v>
      </c>
      <c r="C32" t="str">
        <f t="shared" si="14"/>
        <v>255.255.255.192</v>
      </c>
      <c r="D32" s="8">
        <f t="shared" si="9"/>
        <v>67108862</v>
      </c>
      <c r="E32" s="8">
        <f t="shared" si="10"/>
        <v>62</v>
      </c>
      <c r="F32" s="6"/>
      <c r="G32" s="6"/>
      <c r="H32" s="6"/>
      <c r="J32" s="13">
        <v>26</v>
      </c>
      <c r="K32" s="14" t="str">
        <f t="shared" si="15"/>
        <v>11111111</v>
      </c>
      <c r="L32" s="14">
        <f t="shared" si="16"/>
        <v>18</v>
      </c>
      <c r="M32" s="14" t="str">
        <f t="shared" si="17"/>
        <v>11111111</v>
      </c>
      <c r="N32" s="14">
        <f t="shared" si="18"/>
        <v>10</v>
      </c>
      <c r="O32" s="14" t="str">
        <f t="shared" si="19"/>
        <v>11111111</v>
      </c>
      <c r="P32" s="14">
        <f t="shared" si="20"/>
        <v>2</v>
      </c>
      <c r="Q32" s="14" t="str">
        <f t="shared" si="21"/>
        <v>11000000</v>
      </c>
    </row>
    <row r="33" spans="2:17" x14ac:dyDescent="0.25">
      <c r="B33" s="1" t="str">
        <f t="shared" si="0"/>
        <v>n.n.n.n/27</v>
      </c>
      <c r="C33" t="str">
        <f t="shared" si="14"/>
        <v>255.255.255.224</v>
      </c>
      <c r="D33" s="8">
        <f t="shared" si="9"/>
        <v>134217726</v>
      </c>
      <c r="E33" s="8">
        <f t="shared" si="10"/>
        <v>30</v>
      </c>
      <c r="F33" s="6"/>
      <c r="G33" s="6"/>
      <c r="H33" s="6"/>
      <c r="J33" s="13">
        <v>27</v>
      </c>
      <c r="K33" s="14" t="str">
        <f t="shared" si="15"/>
        <v>11111111</v>
      </c>
      <c r="L33" s="14">
        <f t="shared" si="16"/>
        <v>19</v>
      </c>
      <c r="M33" s="14" t="str">
        <f t="shared" si="17"/>
        <v>11111111</v>
      </c>
      <c r="N33" s="14">
        <f t="shared" si="18"/>
        <v>11</v>
      </c>
      <c r="O33" s="14" t="str">
        <f t="shared" si="19"/>
        <v>11111111</v>
      </c>
      <c r="P33" s="14">
        <f t="shared" si="20"/>
        <v>3</v>
      </c>
      <c r="Q33" s="14" t="str">
        <f t="shared" si="21"/>
        <v>11100000</v>
      </c>
    </row>
    <row r="34" spans="2:17" x14ac:dyDescent="0.25">
      <c r="B34" s="1" t="str">
        <f t="shared" si="0"/>
        <v>n.n.n.n/28</v>
      </c>
      <c r="C34" t="str">
        <f t="shared" si="14"/>
        <v>255.255.255.240</v>
      </c>
      <c r="D34" s="8">
        <f t="shared" si="9"/>
        <v>268435454</v>
      </c>
      <c r="E34" s="8">
        <f t="shared" si="10"/>
        <v>14</v>
      </c>
      <c r="F34" s="6"/>
      <c r="G34" s="6"/>
      <c r="H34" s="6"/>
      <c r="J34" s="13">
        <v>28</v>
      </c>
      <c r="K34" s="14" t="str">
        <f t="shared" si="15"/>
        <v>11111111</v>
      </c>
      <c r="L34" s="14">
        <f t="shared" si="16"/>
        <v>20</v>
      </c>
      <c r="M34" s="14" t="str">
        <f t="shared" si="17"/>
        <v>11111111</v>
      </c>
      <c r="N34" s="14">
        <f t="shared" si="18"/>
        <v>12</v>
      </c>
      <c r="O34" s="14" t="str">
        <f t="shared" si="19"/>
        <v>11111111</v>
      </c>
      <c r="P34" s="14">
        <f t="shared" si="20"/>
        <v>4</v>
      </c>
      <c r="Q34" s="14" t="str">
        <f t="shared" si="21"/>
        <v>11110000</v>
      </c>
    </row>
    <row r="35" spans="2:17" x14ac:dyDescent="0.25">
      <c r="B35" s="1" t="str">
        <f t="shared" si="0"/>
        <v>n.n.n.n/29</v>
      </c>
      <c r="C35" t="str">
        <f t="shared" si="14"/>
        <v>255.255.255.248</v>
      </c>
      <c r="D35" s="8">
        <f t="shared" si="9"/>
        <v>536870910</v>
      </c>
      <c r="E35" s="8">
        <f t="shared" si="10"/>
        <v>6</v>
      </c>
      <c r="F35" s="6"/>
      <c r="G35" s="6"/>
      <c r="H35" s="6"/>
      <c r="J35" s="13">
        <v>29</v>
      </c>
      <c r="K35" s="14" t="str">
        <f t="shared" si="15"/>
        <v>11111111</v>
      </c>
      <c r="L35" s="14">
        <f t="shared" si="16"/>
        <v>21</v>
      </c>
      <c r="M35" s="14" t="str">
        <f t="shared" si="17"/>
        <v>11111111</v>
      </c>
      <c r="N35" s="14">
        <f t="shared" si="18"/>
        <v>13</v>
      </c>
      <c r="O35" s="14" t="str">
        <f t="shared" si="19"/>
        <v>11111111</v>
      </c>
      <c r="P35" s="14">
        <f t="shared" si="20"/>
        <v>5</v>
      </c>
      <c r="Q35" s="14" t="str">
        <f t="shared" si="21"/>
        <v>11111000</v>
      </c>
    </row>
    <row r="36" spans="2:17" x14ac:dyDescent="0.25">
      <c r="B36" s="1" t="str">
        <f t="shared" si="0"/>
        <v>n.n.n.n/30</v>
      </c>
      <c r="C36" t="str">
        <f t="shared" si="14"/>
        <v>255.255.255.252</v>
      </c>
      <c r="D36" s="8">
        <f t="shared" si="9"/>
        <v>1073741822</v>
      </c>
      <c r="E36" s="8">
        <f t="shared" si="10"/>
        <v>2</v>
      </c>
      <c r="F36" s="6"/>
      <c r="G36" s="6"/>
      <c r="H36" s="6"/>
      <c r="J36" s="13">
        <v>30</v>
      </c>
      <c r="K36" s="14" t="str">
        <f t="shared" si="15"/>
        <v>11111111</v>
      </c>
      <c r="L36" s="14">
        <f t="shared" si="16"/>
        <v>22</v>
      </c>
      <c r="M36" s="14" t="str">
        <f t="shared" si="17"/>
        <v>11111111</v>
      </c>
      <c r="N36" s="14">
        <f t="shared" si="18"/>
        <v>14</v>
      </c>
      <c r="O36" s="14" t="str">
        <f t="shared" si="19"/>
        <v>11111111</v>
      </c>
      <c r="P36" s="14">
        <f t="shared" si="20"/>
        <v>6</v>
      </c>
      <c r="Q36" s="14" t="str">
        <f t="shared" si="21"/>
        <v>11111100</v>
      </c>
    </row>
    <row r="37" spans="2:17" x14ac:dyDescent="0.25">
      <c r="B37" s="1" t="str">
        <f t="shared" si="0"/>
        <v>n.n.n.n/31</v>
      </c>
      <c r="C37" t="str">
        <f t="shared" si="14"/>
        <v>255.255.255.254</v>
      </c>
      <c r="D37" s="8">
        <f t="shared" si="9"/>
        <v>2147483646</v>
      </c>
      <c r="E37" s="8">
        <f t="shared" si="10"/>
        <v>0</v>
      </c>
      <c r="F37" s="6"/>
      <c r="G37" s="6"/>
      <c r="H37" s="6"/>
      <c r="J37" s="13">
        <v>31</v>
      </c>
      <c r="K37" s="14" t="str">
        <f t="shared" si="15"/>
        <v>11111111</v>
      </c>
      <c r="L37" s="14">
        <f t="shared" si="16"/>
        <v>23</v>
      </c>
      <c r="M37" s="14" t="str">
        <f t="shared" si="17"/>
        <v>11111111</v>
      </c>
      <c r="N37" s="14">
        <f t="shared" si="18"/>
        <v>15</v>
      </c>
      <c r="O37" s="14" t="str">
        <f t="shared" si="19"/>
        <v>11111111</v>
      </c>
      <c r="P37" s="14">
        <f t="shared" si="20"/>
        <v>7</v>
      </c>
      <c r="Q37" s="14" t="str">
        <f t="shared" si="21"/>
        <v>11111110</v>
      </c>
    </row>
    <row r="38" spans="2:17" x14ac:dyDescent="0.25">
      <c r="D38" s="6"/>
      <c r="E38" s="6"/>
      <c r="F38" s="6"/>
      <c r="G38" s="6"/>
      <c r="H38" s="6"/>
    </row>
    <row r="39" spans="2:17" x14ac:dyDescent="0.25">
      <c r="D39" s="6"/>
      <c r="E39" s="6"/>
      <c r="F39" s="6"/>
      <c r="G39" s="6"/>
      <c r="H39" s="6"/>
    </row>
    <row r="40" spans="2:17" x14ac:dyDescent="0.25">
      <c r="D40" s="6"/>
      <c r="E40" s="6"/>
      <c r="F40" s="6"/>
      <c r="G40" s="6"/>
      <c r="H40" s="6"/>
    </row>
    <row r="41" spans="2:17" x14ac:dyDescent="0.25">
      <c r="D41" s="6"/>
      <c r="E41" s="6"/>
      <c r="F41" s="6"/>
      <c r="G41" s="6"/>
      <c r="H41" s="6"/>
    </row>
    <row r="42" spans="2:17" x14ac:dyDescent="0.25">
      <c r="D42" s="6"/>
      <c r="E42" s="6"/>
      <c r="F42" s="6"/>
      <c r="G42" s="6"/>
      <c r="H42" s="6"/>
    </row>
    <row r="43" spans="2:17" x14ac:dyDescent="0.25">
      <c r="D43" s="6"/>
      <c r="E43" s="6"/>
      <c r="F43" s="6"/>
      <c r="G43" s="6"/>
      <c r="H43" s="6"/>
    </row>
    <row r="44" spans="2:17" x14ac:dyDescent="0.25">
      <c r="D44" s="6"/>
      <c r="E44" s="6"/>
      <c r="F44" s="6"/>
      <c r="G44" s="6"/>
      <c r="H44" s="6"/>
    </row>
    <row r="45" spans="2:17" x14ac:dyDescent="0.25">
      <c r="D45" s="6"/>
      <c r="E45" s="6"/>
      <c r="F45" s="6"/>
      <c r="G45" s="6"/>
      <c r="H45" s="6"/>
    </row>
    <row r="46" spans="2:17" x14ac:dyDescent="0.25">
      <c r="D46" s="6"/>
      <c r="E46" s="6"/>
      <c r="F46" s="6"/>
      <c r="G46" s="6"/>
      <c r="H46" s="6"/>
    </row>
    <row r="47" spans="2:17" x14ac:dyDescent="0.25">
      <c r="D47" s="6"/>
      <c r="E47" s="6"/>
      <c r="F47" s="6"/>
      <c r="G47" s="6"/>
      <c r="H47" s="6"/>
    </row>
    <row r="48" spans="2:17" x14ac:dyDescent="0.25">
      <c r="D48" s="6"/>
      <c r="E48" s="6"/>
      <c r="F48" s="6"/>
      <c r="G48" s="6"/>
      <c r="H48" s="6"/>
    </row>
    <row r="49" spans="4:8" x14ac:dyDescent="0.25">
      <c r="D49" s="6"/>
      <c r="E49" s="6"/>
      <c r="F49" s="6"/>
      <c r="G49" s="6"/>
      <c r="H49" s="6"/>
    </row>
    <row r="50" spans="4:8" x14ac:dyDescent="0.25">
      <c r="D50" s="6"/>
      <c r="E50" s="6"/>
      <c r="F50" s="6"/>
      <c r="G50" s="6"/>
      <c r="H50" s="6"/>
    </row>
    <row r="51" spans="4:8" x14ac:dyDescent="0.25">
      <c r="D51" s="6"/>
      <c r="E51" s="6"/>
      <c r="F51" s="6"/>
      <c r="G51" s="6"/>
      <c r="H51" s="6"/>
    </row>
    <row r="52" spans="4:8" x14ac:dyDescent="0.25">
      <c r="D52" s="6"/>
      <c r="E52" s="6"/>
      <c r="F52" s="6"/>
      <c r="G52" s="6"/>
      <c r="H52" s="6"/>
    </row>
    <row r="53" spans="4:8" x14ac:dyDescent="0.25">
      <c r="D53" s="6"/>
      <c r="E53" s="6"/>
      <c r="F53" s="6"/>
      <c r="G53" s="6"/>
      <c r="H53" s="6"/>
    </row>
    <row r="54" spans="4:8" x14ac:dyDescent="0.25">
      <c r="D54" s="6"/>
      <c r="E54" s="6"/>
      <c r="F54" s="6"/>
      <c r="G54" s="6"/>
      <c r="H54" s="6"/>
    </row>
    <row r="55" spans="4:8" x14ac:dyDescent="0.25">
      <c r="D55" s="6"/>
      <c r="E55" s="6"/>
      <c r="F55" s="6"/>
      <c r="G55" s="6"/>
      <c r="H55" s="6"/>
    </row>
    <row r="56" spans="4:8" x14ac:dyDescent="0.25">
      <c r="D56" s="6"/>
      <c r="E56" s="6"/>
      <c r="F56" s="6"/>
      <c r="G56" s="6"/>
      <c r="H56" s="6"/>
    </row>
    <row r="57" spans="4:8" x14ac:dyDescent="0.25">
      <c r="D57" s="6"/>
      <c r="E57" s="6"/>
      <c r="F57" s="6"/>
      <c r="G57" s="6"/>
      <c r="H57" s="6"/>
    </row>
    <row r="58" spans="4:8" x14ac:dyDescent="0.25">
      <c r="D58" s="6"/>
      <c r="E58" s="6"/>
      <c r="F58" s="6"/>
      <c r="G58" s="6"/>
      <c r="H58" s="6"/>
    </row>
    <row r="59" spans="4:8" x14ac:dyDescent="0.25">
      <c r="D59" s="6"/>
      <c r="E59" s="6"/>
      <c r="F59" s="6"/>
      <c r="G59" s="6"/>
      <c r="H59" s="6"/>
    </row>
    <row r="60" spans="4:8" x14ac:dyDescent="0.25">
      <c r="D60" s="6"/>
      <c r="E60" s="6"/>
      <c r="F60" s="6"/>
      <c r="G60" s="6"/>
      <c r="H60" s="6"/>
    </row>
    <row r="61" spans="4:8" x14ac:dyDescent="0.25">
      <c r="D61" s="6"/>
      <c r="E61" s="6"/>
      <c r="F61" s="6"/>
      <c r="G61" s="6"/>
      <c r="H61" s="6"/>
    </row>
    <row r="62" spans="4:8" x14ac:dyDescent="0.25">
      <c r="D62" s="6"/>
      <c r="E62" s="6"/>
      <c r="F62" s="6"/>
      <c r="G62" s="6"/>
      <c r="H62" s="6"/>
    </row>
    <row r="63" spans="4:8" x14ac:dyDescent="0.25">
      <c r="D63" s="6"/>
      <c r="E63" s="6"/>
      <c r="F63" s="6"/>
      <c r="G63" s="6"/>
      <c r="H63" s="6"/>
    </row>
    <row r="64" spans="4:8" x14ac:dyDescent="0.25">
      <c r="D64" s="6"/>
      <c r="E64" s="6"/>
      <c r="F64" s="6"/>
      <c r="G64" s="6"/>
      <c r="H64" s="6"/>
    </row>
    <row r="65" spans="4:8" x14ac:dyDescent="0.25">
      <c r="D65" s="6"/>
      <c r="E65" s="6"/>
      <c r="F65" s="6"/>
      <c r="G65" s="6"/>
      <c r="H65" s="6"/>
    </row>
    <row r="66" spans="4:8" x14ac:dyDescent="0.25">
      <c r="D66" s="6"/>
      <c r="E66" s="6"/>
      <c r="F66" s="6"/>
      <c r="G66" s="6"/>
      <c r="H66" s="6"/>
    </row>
    <row r="67" spans="4:8" x14ac:dyDescent="0.25">
      <c r="D67" s="6"/>
      <c r="E67" s="6"/>
      <c r="F67" s="6"/>
      <c r="G67" s="6"/>
      <c r="H67" s="6"/>
    </row>
    <row r="68" spans="4:8" x14ac:dyDescent="0.25">
      <c r="D68" s="6"/>
      <c r="E68" s="6"/>
      <c r="F68" s="6"/>
      <c r="G68" s="6"/>
      <c r="H68" s="6"/>
    </row>
    <row r="69" spans="4:8" x14ac:dyDescent="0.25">
      <c r="D69" s="6"/>
      <c r="E69" s="6"/>
      <c r="F69" s="6"/>
      <c r="G69" s="6"/>
      <c r="H69" s="6"/>
    </row>
    <row r="70" spans="4:8" x14ac:dyDescent="0.25">
      <c r="D70" s="6"/>
      <c r="E70" s="6"/>
      <c r="F70" s="6"/>
      <c r="G70" s="6"/>
      <c r="H70" s="6"/>
    </row>
    <row r="71" spans="4:8" x14ac:dyDescent="0.25">
      <c r="D71" s="6"/>
      <c r="E71" s="6"/>
      <c r="F71" s="6"/>
      <c r="G71" s="6"/>
      <c r="H71" s="6"/>
    </row>
    <row r="72" spans="4:8" x14ac:dyDescent="0.25">
      <c r="D72" s="6"/>
      <c r="E72" s="6"/>
      <c r="F72" s="6"/>
      <c r="G72" s="6"/>
      <c r="H72" s="6"/>
    </row>
    <row r="73" spans="4:8" x14ac:dyDescent="0.25">
      <c r="D73" s="6"/>
      <c r="E73" s="6"/>
      <c r="F73" s="6"/>
      <c r="G73" s="6"/>
      <c r="H73" s="6"/>
    </row>
    <row r="74" spans="4:8" x14ac:dyDescent="0.25">
      <c r="D74" s="6"/>
      <c r="E74" s="6"/>
      <c r="F74" s="6"/>
      <c r="G74" s="6"/>
      <c r="H74" s="6"/>
    </row>
    <row r="75" spans="4:8" x14ac:dyDescent="0.25">
      <c r="D75" s="6"/>
      <c r="E75" s="6"/>
      <c r="F75" s="6"/>
      <c r="G75" s="6"/>
      <c r="H75" s="6"/>
    </row>
    <row r="76" spans="4:8" x14ac:dyDescent="0.25">
      <c r="D76" s="6"/>
      <c r="E76" s="6"/>
      <c r="F76" s="6"/>
      <c r="G76" s="6"/>
      <c r="H76" s="6"/>
    </row>
    <row r="77" spans="4:8" x14ac:dyDescent="0.25">
      <c r="D77" s="6"/>
      <c r="E77" s="6"/>
      <c r="F77" s="6"/>
      <c r="G77" s="6"/>
      <c r="H77" s="6"/>
    </row>
    <row r="78" spans="4:8" x14ac:dyDescent="0.25">
      <c r="D78" s="6"/>
      <c r="E78" s="6"/>
      <c r="F78" s="6"/>
      <c r="G78" s="6"/>
      <c r="H78" s="6"/>
    </row>
    <row r="79" spans="4:8" x14ac:dyDescent="0.25">
      <c r="D79" s="6"/>
      <c r="E79" s="6"/>
      <c r="F79" s="6"/>
      <c r="G79" s="6"/>
      <c r="H79" s="6"/>
    </row>
    <row r="80" spans="4:8" x14ac:dyDescent="0.25">
      <c r="D80" s="6"/>
      <c r="E80" s="6"/>
      <c r="F80" s="6"/>
      <c r="G80" s="6"/>
      <c r="H80" s="6"/>
    </row>
    <row r="81" spans="4:8" x14ac:dyDescent="0.25">
      <c r="D81" s="6"/>
      <c r="E81" s="6"/>
      <c r="F81" s="6"/>
      <c r="G81" s="6"/>
      <c r="H81" s="6"/>
    </row>
    <row r="82" spans="4:8" x14ac:dyDescent="0.25">
      <c r="D82" s="6"/>
      <c r="E82" s="6"/>
      <c r="F82" s="6"/>
      <c r="G82" s="6"/>
      <c r="H82" s="6"/>
    </row>
    <row r="83" spans="4:8" x14ac:dyDescent="0.25">
      <c r="D83" s="6"/>
      <c r="E83" s="6"/>
      <c r="F83" s="6"/>
      <c r="G83" s="6"/>
      <c r="H83" s="6"/>
    </row>
    <row r="84" spans="4:8" x14ac:dyDescent="0.25">
      <c r="D84" s="6"/>
      <c r="E84" s="6"/>
      <c r="F84" s="6"/>
      <c r="G84" s="6"/>
      <c r="H84" s="6"/>
    </row>
    <row r="85" spans="4:8" x14ac:dyDescent="0.25">
      <c r="D85" s="6"/>
      <c r="E85" s="6"/>
      <c r="F85" s="6"/>
      <c r="G85" s="6"/>
      <c r="H85" s="6"/>
    </row>
    <row r="86" spans="4:8" x14ac:dyDescent="0.25">
      <c r="D86" s="6"/>
      <c r="E86" s="6"/>
      <c r="F86" s="6"/>
      <c r="G86" s="6"/>
      <c r="H86" s="6"/>
    </row>
    <row r="87" spans="4:8" x14ac:dyDescent="0.25">
      <c r="D87" s="6"/>
      <c r="E87" s="6"/>
      <c r="F87" s="6"/>
      <c r="G87" s="6"/>
      <c r="H87" s="6"/>
    </row>
    <row r="88" spans="4:8" x14ac:dyDescent="0.25">
      <c r="D88" s="6"/>
      <c r="E88" s="6"/>
      <c r="F88" s="6"/>
      <c r="G88" s="6"/>
      <c r="H88" s="6"/>
    </row>
    <row r="89" spans="4:8" x14ac:dyDescent="0.25">
      <c r="D89" s="6"/>
      <c r="E89" s="6"/>
      <c r="F89" s="6"/>
      <c r="G89" s="6"/>
      <c r="H89" s="6"/>
    </row>
    <row r="90" spans="4:8" x14ac:dyDescent="0.25">
      <c r="D90" s="6"/>
      <c r="E90" s="6"/>
      <c r="F90" s="6"/>
      <c r="G90" s="6"/>
      <c r="H90" s="6"/>
    </row>
    <row r="91" spans="4:8" x14ac:dyDescent="0.25">
      <c r="D91" s="6"/>
      <c r="E91" s="6"/>
      <c r="F91" s="6"/>
      <c r="G91" s="6"/>
      <c r="H91" s="6"/>
    </row>
    <row r="92" spans="4:8" x14ac:dyDescent="0.25">
      <c r="D92" s="6"/>
      <c r="E92" s="6"/>
      <c r="F92" s="6"/>
      <c r="G92" s="6"/>
      <c r="H92" s="6"/>
    </row>
    <row r="93" spans="4:8" x14ac:dyDescent="0.25">
      <c r="D93" s="6"/>
      <c r="E93" s="6"/>
      <c r="F93" s="6"/>
      <c r="G93" s="6"/>
      <c r="H93" s="6"/>
    </row>
    <row r="94" spans="4:8" x14ac:dyDescent="0.25">
      <c r="D94" s="6"/>
      <c r="E94" s="6"/>
      <c r="F94" s="6"/>
      <c r="G94" s="6"/>
      <c r="H94" s="6"/>
    </row>
    <row r="95" spans="4:8" x14ac:dyDescent="0.25">
      <c r="D95" s="6"/>
      <c r="E95" s="6"/>
      <c r="F95" s="6"/>
      <c r="G95" s="6"/>
      <c r="H95" s="6"/>
    </row>
    <row r="96" spans="4:8" x14ac:dyDescent="0.25">
      <c r="D96" s="6"/>
      <c r="E96" s="6"/>
      <c r="F96" s="6"/>
      <c r="G96" s="6"/>
      <c r="H96" s="6"/>
    </row>
    <row r="97" spans="4:8" x14ac:dyDescent="0.25">
      <c r="D97" s="6"/>
      <c r="E97" s="6"/>
      <c r="F97" s="6"/>
      <c r="G97" s="6"/>
      <c r="H97" s="6"/>
    </row>
    <row r="98" spans="4:8" x14ac:dyDescent="0.25">
      <c r="D98" s="6"/>
      <c r="E98" s="6"/>
      <c r="F98" s="6"/>
      <c r="G98" s="6"/>
      <c r="H98" s="6"/>
    </row>
    <row r="99" spans="4:8" x14ac:dyDescent="0.25">
      <c r="D99" s="6"/>
      <c r="E99" s="6"/>
      <c r="F99" s="6"/>
      <c r="G99" s="6"/>
      <c r="H99" s="6"/>
    </row>
    <row r="100" spans="4:8" x14ac:dyDescent="0.25">
      <c r="D100" s="6"/>
      <c r="E100" s="6"/>
      <c r="F100" s="6"/>
      <c r="G100" s="6"/>
      <c r="H100" s="6"/>
    </row>
    <row r="101" spans="4:8" x14ac:dyDescent="0.25">
      <c r="D101" s="6"/>
      <c r="E101" s="6"/>
      <c r="F101" s="6"/>
      <c r="G101" s="6"/>
      <c r="H101" s="6"/>
    </row>
    <row r="102" spans="4:8" x14ac:dyDescent="0.25">
      <c r="D102" s="6"/>
      <c r="E102" s="6"/>
      <c r="F102" s="6"/>
      <c r="G102" s="6"/>
      <c r="H102" s="6"/>
    </row>
    <row r="103" spans="4:8" x14ac:dyDescent="0.25">
      <c r="D103" s="6"/>
      <c r="E103" s="6"/>
      <c r="F103" s="6"/>
      <c r="G103" s="6"/>
      <c r="H103" s="6"/>
    </row>
    <row r="104" spans="4:8" x14ac:dyDescent="0.25">
      <c r="D104" s="6"/>
      <c r="E104" s="6"/>
      <c r="F104" s="6"/>
      <c r="G104" s="6"/>
      <c r="H104" s="6"/>
    </row>
    <row r="105" spans="4:8" x14ac:dyDescent="0.25">
      <c r="D105" s="6"/>
      <c r="E105" s="6"/>
      <c r="F105" s="6"/>
      <c r="G105" s="6"/>
      <c r="H105" s="6"/>
    </row>
    <row r="106" spans="4:8" x14ac:dyDescent="0.25">
      <c r="D106" s="6"/>
      <c r="E106" s="6"/>
      <c r="F106" s="6"/>
      <c r="G106" s="6"/>
      <c r="H106" s="6"/>
    </row>
    <row r="107" spans="4:8" x14ac:dyDescent="0.25">
      <c r="D107" s="6"/>
      <c r="E107" s="6"/>
      <c r="F107" s="6"/>
      <c r="G107" s="6"/>
      <c r="H107" s="6"/>
    </row>
    <row r="108" spans="4:8" x14ac:dyDescent="0.25">
      <c r="D108" s="6"/>
      <c r="E108" s="6"/>
      <c r="F108" s="6"/>
      <c r="G108" s="6"/>
      <c r="H108" s="6"/>
    </row>
    <row r="109" spans="4:8" x14ac:dyDescent="0.25">
      <c r="D109" s="6"/>
      <c r="E109" s="6"/>
      <c r="F109" s="6"/>
      <c r="G109" s="6"/>
      <c r="H109" s="6"/>
    </row>
    <row r="110" spans="4:8" x14ac:dyDescent="0.25">
      <c r="D110" s="6"/>
      <c r="E110" s="6"/>
      <c r="F110" s="6"/>
      <c r="G110" s="6"/>
      <c r="H110" s="6"/>
    </row>
    <row r="111" spans="4:8" x14ac:dyDescent="0.25">
      <c r="D111" s="6"/>
      <c r="E111" s="6"/>
      <c r="F111" s="6"/>
      <c r="G111" s="6"/>
      <c r="H111" s="6"/>
    </row>
    <row r="112" spans="4:8" x14ac:dyDescent="0.25">
      <c r="D112" s="6"/>
      <c r="E112" s="6"/>
      <c r="F112" s="6"/>
      <c r="G112" s="6"/>
      <c r="H112" s="6"/>
    </row>
    <row r="113" spans="4:8" x14ac:dyDescent="0.25">
      <c r="D113" s="6"/>
      <c r="E113" s="6"/>
      <c r="F113" s="6"/>
      <c r="G113" s="6"/>
      <c r="H113" s="6"/>
    </row>
    <row r="114" spans="4:8" x14ac:dyDescent="0.25">
      <c r="D114" s="6"/>
      <c r="E114" s="6"/>
      <c r="F114" s="6"/>
      <c r="G114" s="6"/>
      <c r="H114" s="6"/>
    </row>
    <row r="115" spans="4:8" x14ac:dyDescent="0.25">
      <c r="D115" s="6"/>
      <c r="E115" s="6"/>
      <c r="F115" s="6"/>
      <c r="G115" s="6"/>
      <c r="H115" s="6"/>
    </row>
    <row r="116" spans="4:8" x14ac:dyDescent="0.25">
      <c r="D116" s="6"/>
      <c r="E116" s="6"/>
      <c r="F116" s="6"/>
      <c r="G116" s="6"/>
      <c r="H116" s="6"/>
    </row>
    <row r="117" spans="4:8" x14ac:dyDescent="0.25">
      <c r="D117" s="6"/>
      <c r="E117" s="6"/>
      <c r="F117" s="6"/>
      <c r="G117" s="6"/>
      <c r="H117" s="6"/>
    </row>
    <row r="118" spans="4:8" x14ac:dyDescent="0.25">
      <c r="D118" s="6"/>
      <c r="E118" s="6"/>
      <c r="F118" s="6"/>
      <c r="G118" s="6"/>
      <c r="H118" s="6"/>
    </row>
    <row r="119" spans="4:8" x14ac:dyDescent="0.25">
      <c r="D119" s="6"/>
      <c r="E119" s="6"/>
      <c r="F119" s="6"/>
      <c r="G119" s="6"/>
      <c r="H119" s="6"/>
    </row>
    <row r="120" spans="4:8" x14ac:dyDescent="0.25">
      <c r="D120" s="6"/>
      <c r="E120" s="6"/>
      <c r="F120" s="6"/>
      <c r="G120" s="6"/>
      <c r="H120" s="6"/>
    </row>
    <row r="121" spans="4:8" x14ac:dyDescent="0.25">
      <c r="D121" s="6"/>
      <c r="E121" s="6"/>
      <c r="F121" s="6"/>
      <c r="G121" s="6"/>
      <c r="H121" s="6"/>
    </row>
    <row r="122" spans="4:8" x14ac:dyDescent="0.25">
      <c r="D122" s="6"/>
      <c r="E122" s="6"/>
      <c r="F122" s="6"/>
      <c r="G122" s="6"/>
      <c r="H122" s="6"/>
    </row>
    <row r="123" spans="4:8" x14ac:dyDescent="0.25">
      <c r="D123" s="6"/>
      <c r="E123" s="6"/>
      <c r="F123" s="6"/>
      <c r="G123" s="6"/>
      <c r="H123" s="6"/>
    </row>
    <row r="124" spans="4:8" x14ac:dyDescent="0.25">
      <c r="D124" s="6"/>
      <c r="E124" s="6"/>
      <c r="F124" s="6"/>
      <c r="G124" s="6"/>
      <c r="H124" s="6"/>
    </row>
    <row r="125" spans="4:8" x14ac:dyDescent="0.25">
      <c r="D125" s="6"/>
      <c r="E125" s="6"/>
      <c r="F125" s="6"/>
      <c r="G125" s="6"/>
      <c r="H125" s="6"/>
    </row>
    <row r="126" spans="4:8" x14ac:dyDescent="0.25">
      <c r="D126" s="6"/>
      <c r="E126" s="6"/>
      <c r="F126" s="6"/>
      <c r="G126" s="6"/>
      <c r="H126" s="6"/>
    </row>
    <row r="127" spans="4:8" x14ac:dyDescent="0.25">
      <c r="D127" s="6"/>
      <c r="E127" s="6"/>
      <c r="F127" s="6"/>
      <c r="G127" s="6"/>
      <c r="H127" s="6"/>
    </row>
    <row r="128" spans="4:8" x14ac:dyDescent="0.25">
      <c r="D128" s="6"/>
      <c r="E128" s="6"/>
      <c r="F128" s="6"/>
      <c r="G128" s="6"/>
      <c r="H128" s="6"/>
    </row>
    <row r="129" spans="4:8" x14ac:dyDescent="0.25">
      <c r="D129" s="6"/>
      <c r="E129" s="6"/>
      <c r="F129" s="6"/>
      <c r="G129" s="6"/>
      <c r="H129" s="6"/>
    </row>
    <row r="130" spans="4:8" x14ac:dyDescent="0.25">
      <c r="D130" s="6"/>
      <c r="E130" s="6"/>
      <c r="F130" s="6"/>
      <c r="G130" s="6"/>
      <c r="H130" s="6"/>
    </row>
    <row r="131" spans="4:8" x14ac:dyDescent="0.25">
      <c r="D131" s="6"/>
      <c r="E131" s="6"/>
      <c r="F131" s="6"/>
      <c r="G131" s="6"/>
      <c r="H131" s="6"/>
    </row>
    <row r="132" spans="4:8" x14ac:dyDescent="0.25">
      <c r="D132" s="6"/>
      <c r="E132" s="6"/>
      <c r="F132" s="6"/>
      <c r="G132" s="6"/>
      <c r="H132" s="6"/>
    </row>
    <row r="133" spans="4:8" x14ac:dyDescent="0.25">
      <c r="D133" s="6"/>
      <c r="E133" s="6"/>
      <c r="F133" s="6"/>
      <c r="G133" s="6"/>
      <c r="H133" s="6"/>
    </row>
    <row r="134" spans="4:8" x14ac:dyDescent="0.25">
      <c r="D134" s="6"/>
      <c r="E134" s="6"/>
      <c r="F134" s="6"/>
      <c r="G134" s="6"/>
      <c r="H134" s="6"/>
    </row>
    <row r="135" spans="4:8" x14ac:dyDescent="0.25">
      <c r="D135" s="6"/>
      <c r="E135" s="6"/>
      <c r="F135" s="6"/>
      <c r="G135" s="6"/>
      <c r="H135" s="6"/>
    </row>
    <row r="136" spans="4:8" x14ac:dyDescent="0.25">
      <c r="D136" s="6"/>
      <c r="E136" s="6"/>
      <c r="F136" s="6"/>
      <c r="G136" s="6"/>
      <c r="H136" s="6"/>
    </row>
    <row r="137" spans="4:8" x14ac:dyDescent="0.25">
      <c r="D137" s="6"/>
      <c r="E137" s="6"/>
      <c r="F137" s="6"/>
      <c r="G137" s="6"/>
      <c r="H137" s="6"/>
    </row>
    <row r="138" spans="4:8" x14ac:dyDescent="0.25">
      <c r="D138" s="6"/>
      <c r="E138" s="6"/>
      <c r="F138" s="6"/>
      <c r="G138" s="6"/>
      <c r="H138" s="6"/>
    </row>
    <row r="139" spans="4:8" x14ac:dyDescent="0.25">
      <c r="D139" s="6"/>
      <c r="E139" s="6"/>
      <c r="F139" s="6"/>
      <c r="G139" s="6"/>
      <c r="H139" s="6"/>
    </row>
    <row r="140" spans="4:8" x14ac:dyDescent="0.25">
      <c r="D140" s="6"/>
      <c r="E140" s="6"/>
      <c r="F140" s="6"/>
      <c r="G140" s="6"/>
      <c r="H140" s="6"/>
    </row>
    <row r="141" spans="4:8" x14ac:dyDescent="0.25">
      <c r="D141" s="6"/>
      <c r="E141" s="6"/>
      <c r="F141" s="6"/>
      <c r="G141" s="6"/>
      <c r="H141" s="6"/>
    </row>
    <row r="142" spans="4:8" x14ac:dyDescent="0.25">
      <c r="D142" s="6"/>
      <c r="E142" s="6"/>
      <c r="F142" s="6"/>
      <c r="G142" s="6"/>
      <c r="H142" s="6"/>
    </row>
    <row r="143" spans="4:8" x14ac:dyDescent="0.25">
      <c r="D143" s="6"/>
      <c r="E143" s="6"/>
      <c r="F143" s="6"/>
      <c r="G143" s="6"/>
      <c r="H143" s="6"/>
    </row>
    <row r="144" spans="4:8" x14ac:dyDescent="0.25">
      <c r="D144" s="6"/>
      <c r="E144" s="6"/>
      <c r="F144" s="6"/>
      <c r="G144" s="6"/>
      <c r="H144" s="6"/>
    </row>
    <row r="145" spans="4:8" x14ac:dyDescent="0.25">
      <c r="D145" s="6"/>
      <c r="E145" s="6"/>
      <c r="F145" s="6"/>
      <c r="G145" s="6"/>
      <c r="H145" s="6"/>
    </row>
    <row r="146" spans="4:8" x14ac:dyDescent="0.25">
      <c r="D146" s="6"/>
      <c r="E146" s="6"/>
      <c r="F146" s="6"/>
      <c r="G146" s="6"/>
      <c r="H146" s="6"/>
    </row>
    <row r="147" spans="4:8" x14ac:dyDescent="0.25">
      <c r="D147" s="6"/>
      <c r="E147" s="6"/>
      <c r="F147" s="6"/>
      <c r="G147" s="6"/>
      <c r="H147" s="6"/>
    </row>
    <row r="148" spans="4:8" x14ac:dyDescent="0.25">
      <c r="D148" s="6"/>
      <c r="E148" s="6"/>
      <c r="F148" s="6"/>
      <c r="G148" s="6"/>
      <c r="H148" s="6"/>
    </row>
    <row r="149" spans="4:8" x14ac:dyDescent="0.25">
      <c r="D149" s="6"/>
      <c r="E149" s="6"/>
      <c r="F149" s="6"/>
      <c r="G149" s="6"/>
      <c r="H149" s="6"/>
    </row>
    <row r="150" spans="4:8" x14ac:dyDescent="0.25">
      <c r="D150" s="6"/>
      <c r="E150" s="6"/>
      <c r="F150" s="6"/>
      <c r="G150" s="6"/>
      <c r="H150" s="6"/>
    </row>
    <row r="151" spans="4:8" x14ac:dyDescent="0.25">
      <c r="D151" s="6"/>
      <c r="E151" s="6"/>
      <c r="F151" s="6"/>
      <c r="G151" s="6"/>
      <c r="H151" s="6"/>
    </row>
    <row r="152" spans="4:8" x14ac:dyDescent="0.25">
      <c r="D152" s="6"/>
      <c r="E152" s="6"/>
      <c r="F152" s="6"/>
      <c r="G152" s="6"/>
      <c r="H152" s="6"/>
    </row>
    <row r="153" spans="4:8" x14ac:dyDescent="0.25">
      <c r="D153" s="6"/>
      <c r="E153" s="6"/>
      <c r="F153" s="6"/>
      <c r="G153" s="6"/>
      <c r="H153" s="6"/>
    </row>
    <row r="154" spans="4:8" x14ac:dyDescent="0.25">
      <c r="D154" s="6"/>
      <c r="E154" s="6"/>
      <c r="F154" s="6"/>
      <c r="G154" s="6"/>
      <c r="H154" s="6"/>
    </row>
    <row r="155" spans="4:8" x14ac:dyDescent="0.25">
      <c r="D155" s="6"/>
      <c r="E155" s="6"/>
      <c r="F155" s="6"/>
      <c r="G155" s="6"/>
      <c r="H155" s="6"/>
    </row>
    <row r="156" spans="4:8" x14ac:dyDescent="0.25">
      <c r="D156" s="6"/>
      <c r="E156" s="6"/>
      <c r="F156" s="6"/>
      <c r="G156" s="6"/>
      <c r="H156" s="6"/>
    </row>
    <row r="157" spans="4:8" x14ac:dyDescent="0.25">
      <c r="D157" s="6"/>
      <c r="E157" s="6"/>
      <c r="F157" s="6"/>
      <c r="G157" s="6"/>
      <c r="H157" s="6"/>
    </row>
    <row r="158" spans="4:8" x14ac:dyDescent="0.25">
      <c r="D158" s="6"/>
      <c r="E158" s="6"/>
      <c r="F158" s="6"/>
      <c r="G158" s="6"/>
      <c r="H158" s="6"/>
    </row>
    <row r="159" spans="4:8" x14ac:dyDescent="0.25">
      <c r="D159" s="6"/>
      <c r="E159" s="6"/>
      <c r="F159" s="6"/>
      <c r="G159" s="6"/>
      <c r="H159" s="6"/>
    </row>
    <row r="160" spans="4:8" x14ac:dyDescent="0.25">
      <c r="D160" s="6"/>
      <c r="E160" s="6"/>
      <c r="F160" s="6"/>
      <c r="G160" s="6"/>
      <c r="H160" s="6"/>
    </row>
    <row r="161" spans="4:8" x14ac:dyDescent="0.25">
      <c r="D161" s="6"/>
      <c r="E161" s="6"/>
      <c r="F161" s="6"/>
      <c r="G161" s="6"/>
      <c r="H161" s="6"/>
    </row>
    <row r="162" spans="4:8" x14ac:dyDescent="0.25">
      <c r="D162" s="6"/>
      <c r="E162" s="6"/>
      <c r="F162" s="6"/>
      <c r="G162" s="6"/>
      <c r="H162" s="6"/>
    </row>
    <row r="163" spans="4:8" x14ac:dyDescent="0.25">
      <c r="D163" s="6"/>
      <c r="E163" s="6"/>
      <c r="F163" s="6"/>
      <c r="G163" s="6"/>
      <c r="H163" s="6"/>
    </row>
    <row r="164" spans="4:8" x14ac:dyDescent="0.25">
      <c r="D164" s="6"/>
      <c r="E164" s="6"/>
      <c r="F164" s="6"/>
      <c r="G164" s="6"/>
      <c r="H164" s="6"/>
    </row>
    <row r="165" spans="4:8" x14ac:dyDescent="0.25">
      <c r="D165" s="6"/>
      <c r="E165" s="6"/>
      <c r="F165" s="6"/>
      <c r="G165" s="6"/>
      <c r="H165" s="6"/>
    </row>
    <row r="166" spans="4:8" x14ac:dyDescent="0.25">
      <c r="D166" s="6"/>
      <c r="E166" s="6"/>
      <c r="F166" s="6"/>
      <c r="G166" s="6"/>
      <c r="H166" s="6"/>
    </row>
    <row r="167" spans="4:8" x14ac:dyDescent="0.25">
      <c r="D167" s="6"/>
      <c r="E167" s="6"/>
      <c r="F167" s="6"/>
      <c r="G167" s="6"/>
      <c r="H167" s="6"/>
    </row>
    <row r="168" spans="4:8" x14ac:dyDescent="0.25">
      <c r="D168" s="6"/>
      <c r="E168" s="6"/>
      <c r="F168" s="6"/>
      <c r="G168" s="6"/>
      <c r="H168" s="6"/>
    </row>
    <row r="169" spans="4:8" x14ac:dyDescent="0.25">
      <c r="D169" s="6"/>
      <c r="E169" s="6"/>
      <c r="F169" s="6"/>
      <c r="G169" s="6"/>
      <c r="H169" s="6"/>
    </row>
    <row r="170" spans="4:8" x14ac:dyDescent="0.25">
      <c r="D170" s="6"/>
      <c r="E170" s="6"/>
      <c r="F170" s="6"/>
      <c r="G170" s="6"/>
      <c r="H170" s="6"/>
    </row>
    <row r="171" spans="4:8" x14ac:dyDescent="0.25">
      <c r="D171" s="6"/>
      <c r="E171" s="6"/>
      <c r="F171" s="6"/>
      <c r="G171" s="6"/>
      <c r="H171" s="6"/>
    </row>
    <row r="172" spans="4:8" x14ac:dyDescent="0.25">
      <c r="D172" s="6"/>
      <c r="E172" s="6"/>
      <c r="F172" s="6"/>
      <c r="G172" s="6"/>
      <c r="H172" s="6"/>
    </row>
    <row r="173" spans="4:8" x14ac:dyDescent="0.25">
      <c r="D173" s="6"/>
      <c r="E173" s="6"/>
      <c r="F173" s="6"/>
      <c r="G173" s="6"/>
      <c r="H173" s="6"/>
    </row>
    <row r="174" spans="4:8" x14ac:dyDescent="0.25">
      <c r="D174" s="6"/>
      <c r="E174" s="6"/>
      <c r="F174" s="6"/>
      <c r="G174" s="6"/>
      <c r="H174" s="6"/>
    </row>
    <row r="175" spans="4:8" x14ac:dyDescent="0.25">
      <c r="D175" s="6"/>
      <c r="E175" s="6"/>
      <c r="F175" s="6"/>
      <c r="G175" s="6"/>
      <c r="H175" s="6"/>
    </row>
    <row r="176" spans="4:8" x14ac:dyDescent="0.25">
      <c r="D176" s="6"/>
      <c r="E176" s="6"/>
      <c r="F176" s="6"/>
      <c r="G176" s="6"/>
      <c r="H176" s="6"/>
    </row>
    <row r="177" spans="4:8" x14ac:dyDescent="0.25">
      <c r="D177" s="6"/>
      <c r="E177" s="6"/>
      <c r="F177" s="6"/>
      <c r="G177" s="6"/>
      <c r="H177" s="6"/>
    </row>
    <row r="178" spans="4:8" x14ac:dyDescent="0.25">
      <c r="D178" s="6"/>
      <c r="E178" s="6"/>
      <c r="F178" s="6"/>
      <c r="G178" s="6"/>
      <c r="H178" s="6"/>
    </row>
    <row r="179" spans="4:8" x14ac:dyDescent="0.25">
      <c r="D179" s="6"/>
      <c r="E179" s="6"/>
      <c r="F179" s="6"/>
      <c r="G179" s="6"/>
      <c r="H179" s="6"/>
    </row>
    <row r="180" spans="4:8" x14ac:dyDescent="0.25">
      <c r="D180" s="6"/>
      <c r="E180" s="6"/>
      <c r="F180" s="6"/>
      <c r="G180" s="6"/>
      <c r="H180" s="6"/>
    </row>
    <row r="181" spans="4:8" x14ac:dyDescent="0.25">
      <c r="D181" s="6"/>
      <c r="E181" s="6"/>
      <c r="F181" s="6"/>
      <c r="G181" s="6"/>
      <c r="H181" s="6"/>
    </row>
    <row r="182" spans="4:8" x14ac:dyDescent="0.25">
      <c r="D182" s="6"/>
      <c r="E182" s="6"/>
      <c r="F182" s="6"/>
      <c r="G182" s="6"/>
      <c r="H182" s="6"/>
    </row>
    <row r="183" spans="4:8" x14ac:dyDescent="0.25">
      <c r="D183" s="6"/>
      <c r="E183" s="6"/>
      <c r="F183" s="6"/>
      <c r="G183" s="6"/>
      <c r="H183" s="6"/>
    </row>
    <row r="184" spans="4:8" x14ac:dyDescent="0.25">
      <c r="D184" s="6"/>
      <c r="E184" s="6"/>
      <c r="F184" s="6"/>
      <c r="G184" s="6"/>
      <c r="H184" s="6"/>
    </row>
    <row r="185" spans="4:8" x14ac:dyDescent="0.25">
      <c r="D185" s="6"/>
      <c r="E185" s="6"/>
      <c r="F185" s="6"/>
      <c r="G185" s="6"/>
      <c r="H185" s="6"/>
    </row>
    <row r="186" spans="4:8" x14ac:dyDescent="0.25">
      <c r="D186" s="6"/>
      <c r="E186" s="6"/>
      <c r="F186" s="6"/>
      <c r="G186" s="6"/>
      <c r="H186" s="6"/>
    </row>
    <row r="187" spans="4:8" x14ac:dyDescent="0.25">
      <c r="D187" s="6"/>
      <c r="E187" s="6"/>
      <c r="F187" s="6"/>
      <c r="G187" s="6"/>
      <c r="H187" s="6"/>
    </row>
    <row r="188" spans="4:8" x14ac:dyDescent="0.25">
      <c r="D188" s="6"/>
      <c r="E188" s="6"/>
      <c r="F188" s="6"/>
      <c r="G188" s="6"/>
      <c r="H188" s="6"/>
    </row>
    <row r="189" spans="4:8" x14ac:dyDescent="0.25">
      <c r="D189" s="6"/>
      <c r="E189" s="6"/>
      <c r="F189" s="6"/>
      <c r="G189" s="6"/>
      <c r="H189" s="6"/>
    </row>
    <row r="190" spans="4:8" x14ac:dyDescent="0.25">
      <c r="D190" s="6"/>
      <c r="E190" s="6"/>
      <c r="F190" s="6"/>
      <c r="G190" s="6"/>
      <c r="H190" s="6"/>
    </row>
    <row r="191" spans="4:8" x14ac:dyDescent="0.25">
      <c r="D191" s="6"/>
      <c r="E191" s="6"/>
      <c r="F191" s="6"/>
      <c r="G191" s="6"/>
      <c r="H191" s="6"/>
    </row>
    <row r="192" spans="4:8" x14ac:dyDescent="0.25">
      <c r="D192" s="6"/>
      <c r="E192" s="6"/>
      <c r="F192" s="6"/>
      <c r="G192" s="6"/>
      <c r="H192" s="6"/>
    </row>
    <row r="193" spans="4:8" x14ac:dyDescent="0.25">
      <c r="D193" s="6"/>
      <c r="E193" s="6"/>
      <c r="F193" s="6"/>
      <c r="G193" s="6"/>
      <c r="H193" s="6"/>
    </row>
    <row r="194" spans="4:8" x14ac:dyDescent="0.25">
      <c r="D194" s="6"/>
      <c r="E194" s="6"/>
      <c r="F194" s="6"/>
      <c r="G194" s="6"/>
      <c r="H194" s="6"/>
    </row>
    <row r="195" spans="4:8" x14ac:dyDescent="0.25">
      <c r="D195" s="6"/>
      <c r="E195" s="6"/>
      <c r="F195" s="6"/>
      <c r="G195" s="6"/>
      <c r="H195" s="6"/>
    </row>
    <row r="196" spans="4:8" x14ac:dyDescent="0.25">
      <c r="D196" s="6"/>
      <c r="E196" s="6"/>
      <c r="F196" s="6"/>
      <c r="G196" s="6"/>
      <c r="H196" s="6"/>
    </row>
    <row r="197" spans="4:8" x14ac:dyDescent="0.25">
      <c r="D197" s="6"/>
      <c r="E197" s="6"/>
      <c r="F197" s="6"/>
      <c r="G197" s="6"/>
      <c r="H197" s="6"/>
    </row>
    <row r="198" spans="4:8" x14ac:dyDescent="0.25">
      <c r="D198" s="6"/>
      <c r="E198" s="6"/>
      <c r="F198" s="6"/>
      <c r="G198" s="6"/>
      <c r="H198" s="6"/>
    </row>
    <row r="199" spans="4:8" x14ac:dyDescent="0.25">
      <c r="D199" s="6"/>
      <c r="E199" s="6"/>
      <c r="F199" s="6"/>
      <c r="G199" s="6"/>
      <c r="H199" s="6"/>
    </row>
    <row r="200" spans="4:8" x14ac:dyDescent="0.25">
      <c r="D200" s="6"/>
      <c r="E200" s="6"/>
      <c r="F200" s="6"/>
      <c r="G200" s="6"/>
      <c r="H200" s="6"/>
    </row>
    <row r="201" spans="4:8" x14ac:dyDescent="0.25">
      <c r="D201" s="6"/>
      <c r="E201" s="6"/>
      <c r="F201" s="6"/>
      <c r="G201" s="6"/>
      <c r="H201" s="6"/>
    </row>
    <row r="202" spans="4:8" x14ac:dyDescent="0.25">
      <c r="D202" s="6"/>
      <c r="E202" s="6"/>
      <c r="F202" s="6"/>
      <c r="G202" s="6"/>
      <c r="H202" s="6"/>
    </row>
    <row r="203" spans="4:8" x14ac:dyDescent="0.25">
      <c r="D203" s="6"/>
      <c r="E203" s="6"/>
      <c r="F203" s="6"/>
      <c r="G203" s="6"/>
      <c r="H203" s="6"/>
    </row>
    <row r="204" spans="4:8" x14ac:dyDescent="0.25">
      <c r="D204" s="6"/>
      <c r="E204" s="6"/>
      <c r="F204" s="6"/>
      <c r="G204" s="6"/>
      <c r="H204" s="6"/>
    </row>
    <row r="205" spans="4:8" x14ac:dyDescent="0.25">
      <c r="D205" s="6"/>
      <c r="E205" s="6"/>
      <c r="F205" s="6"/>
      <c r="G205" s="6"/>
      <c r="H205" s="6"/>
    </row>
    <row r="206" spans="4:8" x14ac:dyDescent="0.25">
      <c r="D206" s="6"/>
      <c r="E206" s="6"/>
      <c r="F206" s="6"/>
      <c r="G206" s="6"/>
      <c r="H206" s="6"/>
    </row>
    <row r="207" spans="4:8" x14ac:dyDescent="0.25">
      <c r="D207" s="6"/>
      <c r="E207" s="6"/>
      <c r="F207" s="6"/>
      <c r="G207" s="6"/>
      <c r="H207" s="6"/>
    </row>
    <row r="208" spans="4:8" x14ac:dyDescent="0.25">
      <c r="D208" s="6"/>
      <c r="E208" s="6"/>
      <c r="F208" s="6"/>
      <c r="G208" s="6"/>
      <c r="H208" s="6"/>
    </row>
    <row r="209" spans="4:8" x14ac:dyDescent="0.25">
      <c r="D209" s="6"/>
      <c r="E209" s="6"/>
      <c r="F209" s="6"/>
      <c r="G209" s="6"/>
      <c r="H209" s="6"/>
    </row>
    <row r="210" spans="4:8" x14ac:dyDescent="0.25">
      <c r="D210" s="6"/>
      <c r="E210" s="6"/>
      <c r="F210" s="6"/>
      <c r="G210" s="6"/>
      <c r="H210" s="6"/>
    </row>
    <row r="211" spans="4:8" x14ac:dyDescent="0.25">
      <c r="D211" s="6"/>
      <c r="E211" s="6"/>
      <c r="F211" s="6"/>
      <c r="G211" s="6"/>
      <c r="H211" s="6"/>
    </row>
    <row r="212" spans="4:8" x14ac:dyDescent="0.25">
      <c r="D212" s="6"/>
      <c r="E212" s="6"/>
      <c r="F212" s="6"/>
      <c r="G212" s="6"/>
      <c r="H212" s="6"/>
    </row>
    <row r="213" spans="4:8" x14ac:dyDescent="0.25">
      <c r="D213" s="6"/>
      <c r="E213" s="6"/>
      <c r="F213" s="6"/>
      <c r="G213" s="6"/>
      <c r="H213" s="6"/>
    </row>
    <row r="214" spans="4:8" x14ac:dyDescent="0.25">
      <c r="D214" s="6"/>
      <c r="E214" s="6"/>
      <c r="F214" s="6"/>
      <c r="G214" s="6"/>
      <c r="H214" s="6"/>
    </row>
    <row r="215" spans="4:8" x14ac:dyDescent="0.25">
      <c r="D215" s="6"/>
      <c r="E215" s="6"/>
      <c r="F215" s="6"/>
      <c r="G215" s="6"/>
      <c r="H215" s="6"/>
    </row>
    <row r="216" spans="4:8" x14ac:dyDescent="0.25">
      <c r="D216" s="6"/>
      <c r="E216" s="6"/>
      <c r="F216" s="6"/>
      <c r="G216" s="6"/>
      <c r="H216" s="6"/>
    </row>
    <row r="217" spans="4:8" x14ac:dyDescent="0.25">
      <c r="D217" s="6"/>
      <c r="E217" s="6"/>
      <c r="F217" s="6"/>
      <c r="G217" s="6"/>
      <c r="H217" s="6"/>
    </row>
    <row r="218" spans="4:8" x14ac:dyDescent="0.25">
      <c r="D218" s="6"/>
      <c r="E218" s="6"/>
      <c r="F218" s="6"/>
      <c r="G218" s="6"/>
      <c r="H218" s="6"/>
    </row>
    <row r="219" spans="4:8" x14ac:dyDescent="0.25">
      <c r="D219" s="6"/>
      <c r="E219" s="6"/>
      <c r="F219" s="6"/>
      <c r="G219" s="6"/>
      <c r="H219" s="6"/>
    </row>
    <row r="220" spans="4:8" x14ac:dyDescent="0.25">
      <c r="D220" s="6"/>
      <c r="E220" s="6"/>
      <c r="F220" s="6"/>
      <c r="G220" s="6"/>
      <c r="H220" s="6"/>
    </row>
    <row r="221" spans="4:8" x14ac:dyDescent="0.25">
      <c r="D221" s="6"/>
      <c r="E221" s="6"/>
      <c r="F221" s="6"/>
      <c r="G221" s="6"/>
      <c r="H221" s="6"/>
    </row>
    <row r="222" spans="4:8" x14ac:dyDescent="0.25">
      <c r="D222" s="6"/>
      <c r="E222" s="6"/>
      <c r="F222" s="6"/>
      <c r="G222" s="6"/>
      <c r="H222" s="6"/>
    </row>
    <row r="223" spans="4:8" x14ac:dyDescent="0.25">
      <c r="D223" s="6"/>
      <c r="E223" s="6"/>
      <c r="F223" s="6"/>
      <c r="G223" s="6"/>
      <c r="H223" s="6"/>
    </row>
    <row r="224" spans="4:8" x14ac:dyDescent="0.25">
      <c r="D224" s="6"/>
      <c r="E224" s="6"/>
      <c r="F224" s="6"/>
      <c r="G224" s="6"/>
      <c r="H224" s="6"/>
    </row>
    <row r="225" spans="4:8" x14ac:dyDescent="0.25">
      <c r="D225" s="6"/>
      <c r="E225" s="6"/>
      <c r="F225" s="6"/>
      <c r="G225" s="6"/>
      <c r="H225" s="6"/>
    </row>
    <row r="226" spans="4:8" x14ac:dyDescent="0.25">
      <c r="D226" s="6"/>
      <c r="E226" s="6"/>
      <c r="F226" s="6"/>
      <c r="G226" s="6"/>
      <c r="H226" s="6"/>
    </row>
    <row r="227" spans="4:8" x14ac:dyDescent="0.25">
      <c r="D227" s="6"/>
      <c r="E227" s="6"/>
      <c r="F227" s="6"/>
      <c r="G227" s="6"/>
      <c r="H227" s="6"/>
    </row>
    <row r="228" spans="4:8" x14ac:dyDescent="0.25">
      <c r="D228" s="6"/>
      <c r="E228" s="6"/>
      <c r="F228" s="6"/>
      <c r="G228" s="6"/>
      <c r="H228" s="6"/>
    </row>
    <row r="229" spans="4:8" x14ac:dyDescent="0.25">
      <c r="D229" s="6"/>
      <c r="E229" s="6"/>
      <c r="F229" s="6"/>
      <c r="G229" s="6"/>
      <c r="H229" s="6"/>
    </row>
    <row r="230" spans="4:8" x14ac:dyDescent="0.25">
      <c r="D230" s="6"/>
      <c r="E230" s="6"/>
      <c r="F230" s="6"/>
      <c r="G230" s="6"/>
      <c r="H230" s="6"/>
    </row>
    <row r="231" spans="4:8" x14ac:dyDescent="0.25">
      <c r="D231" s="6"/>
      <c r="E231" s="6"/>
      <c r="F231" s="6"/>
      <c r="G231" s="6"/>
      <c r="H231" s="6"/>
    </row>
    <row r="232" spans="4:8" x14ac:dyDescent="0.25">
      <c r="D232" s="6"/>
      <c r="E232" s="6"/>
      <c r="F232" s="6"/>
      <c r="G232" s="6"/>
      <c r="H232" s="6"/>
    </row>
    <row r="233" spans="4:8" x14ac:dyDescent="0.25">
      <c r="D233" s="6"/>
      <c r="E233" s="6"/>
      <c r="F233" s="6"/>
      <c r="G233" s="6"/>
      <c r="H233" s="6"/>
    </row>
    <row r="234" spans="4:8" x14ac:dyDescent="0.25">
      <c r="D234" s="6"/>
      <c r="E234" s="6"/>
      <c r="F234" s="6"/>
      <c r="G234" s="6"/>
      <c r="H234" s="6"/>
    </row>
    <row r="235" spans="4:8" x14ac:dyDescent="0.25">
      <c r="D235" s="6"/>
      <c r="E235" s="6"/>
      <c r="F235" s="6"/>
      <c r="G235" s="6"/>
      <c r="H235" s="6"/>
    </row>
    <row r="236" spans="4:8" x14ac:dyDescent="0.25">
      <c r="D236" s="6"/>
      <c r="E236" s="6"/>
      <c r="F236" s="6"/>
      <c r="G236" s="6"/>
      <c r="H236" s="6"/>
    </row>
    <row r="237" spans="4:8" x14ac:dyDescent="0.25">
      <c r="D237" s="6"/>
      <c r="E237" s="6"/>
      <c r="F237" s="6"/>
      <c r="G237" s="6"/>
      <c r="H237" s="6"/>
    </row>
    <row r="238" spans="4:8" x14ac:dyDescent="0.25">
      <c r="D238" s="6"/>
      <c r="E238" s="6"/>
      <c r="F238" s="6"/>
      <c r="G238" s="6"/>
      <c r="H238" s="6"/>
    </row>
    <row r="239" spans="4:8" x14ac:dyDescent="0.25">
      <c r="D239" s="6"/>
      <c r="E239" s="6"/>
      <c r="F239" s="6"/>
      <c r="G239" s="6"/>
      <c r="H239" s="6"/>
    </row>
    <row r="240" spans="4:8" x14ac:dyDescent="0.25">
      <c r="D240" s="6"/>
      <c r="E240" s="6"/>
      <c r="F240" s="6"/>
      <c r="G240" s="6"/>
      <c r="H240" s="6"/>
    </row>
    <row r="241" spans="4:8" x14ac:dyDescent="0.25">
      <c r="D241" s="6"/>
      <c r="E241" s="6"/>
      <c r="F241" s="6"/>
      <c r="G241" s="6"/>
      <c r="H241" s="6"/>
    </row>
    <row r="242" spans="4:8" x14ac:dyDescent="0.25">
      <c r="D242" s="6"/>
      <c r="E242" s="6"/>
      <c r="F242" s="6"/>
      <c r="G242" s="6"/>
      <c r="H242" s="6"/>
    </row>
    <row r="243" spans="4:8" x14ac:dyDescent="0.25">
      <c r="D243" s="6"/>
      <c r="E243" s="6"/>
      <c r="F243" s="6"/>
      <c r="G243" s="6"/>
      <c r="H243" s="6"/>
    </row>
    <row r="244" spans="4:8" x14ac:dyDescent="0.25">
      <c r="D244" s="6"/>
      <c r="E244" s="6"/>
      <c r="F244" s="6"/>
      <c r="G244" s="6"/>
      <c r="H244" s="6"/>
    </row>
    <row r="245" spans="4:8" x14ac:dyDescent="0.25">
      <c r="D245" s="6"/>
      <c r="E245" s="6"/>
      <c r="F245" s="6"/>
      <c r="G245" s="6"/>
      <c r="H245" s="6"/>
    </row>
    <row r="246" spans="4:8" x14ac:dyDescent="0.25">
      <c r="D246" s="6"/>
      <c r="E246" s="6"/>
      <c r="F246" s="6"/>
      <c r="G246" s="6"/>
      <c r="H246" s="6"/>
    </row>
    <row r="247" spans="4:8" x14ac:dyDescent="0.25">
      <c r="D247" s="6"/>
      <c r="E247" s="6"/>
      <c r="F247" s="6"/>
      <c r="G247" s="6"/>
      <c r="H247" s="6"/>
    </row>
    <row r="248" spans="4:8" x14ac:dyDescent="0.25">
      <c r="D248" s="6"/>
      <c r="E248" s="6"/>
      <c r="F248" s="6"/>
      <c r="G248" s="6"/>
      <c r="H248" s="6"/>
    </row>
    <row r="249" spans="4:8" x14ac:dyDescent="0.25">
      <c r="D249" s="6"/>
      <c r="E249" s="6"/>
      <c r="F249" s="6"/>
      <c r="G249" s="6"/>
      <c r="H249" s="6"/>
    </row>
    <row r="250" spans="4:8" x14ac:dyDescent="0.25">
      <c r="D250" s="6"/>
      <c r="E250" s="6"/>
      <c r="F250" s="6"/>
      <c r="G250" s="6"/>
      <c r="H250" s="6"/>
    </row>
    <row r="251" spans="4:8" x14ac:dyDescent="0.25">
      <c r="D251" s="6"/>
      <c r="E251" s="6"/>
      <c r="F251" s="6"/>
      <c r="G251" s="6"/>
      <c r="H251" s="6"/>
    </row>
    <row r="252" spans="4:8" x14ac:dyDescent="0.25">
      <c r="D252" s="6"/>
      <c r="E252" s="6"/>
      <c r="F252" s="6"/>
      <c r="G252" s="6"/>
      <c r="H252" s="6"/>
    </row>
    <row r="253" spans="4:8" x14ac:dyDescent="0.25">
      <c r="D253" s="6"/>
      <c r="E253" s="6"/>
      <c r="F253" s="6"/>
      <c r="G253" s="6"/>
      <c r="H253" s="6"/>
    </row>
    <row r="254" spans="4:8" x14ac:dyDescent="0.25">
      <c r="D254" s="6"/>
      <c r="E254" s="6"/>
      <c r="F254" s="6"/>
      <c r="G254" s="6"/>
      <c r="H254" s="6"/>
    </row>
    <row r="255" spans="4:8" x14ac:dyDescent="0.25">
      <c r="D255" s="6"/>
      <c r="E255" s="6"/>
      <c r="F255" s="6"/>
      <c r="G255" s="6"/>
      <c r="H255" s="6"/>
    </row>
    <row r="256" spans="4:8" x14ac:dyDescent="0.25">
      <c r="D256" s="6"/>
      <c r="E256" s="6"/>
      <c r="F256" s="6"/>
      <c r="G256" s="6"/>
      <c r="H256" s="6"/>
    </row>
    <row r="257" spans="4:8" x14ac:dyDescent="0.25">
      <c r="D257" s="6"/>
      <c r="E257" s="6"/>
      <c r="F257" s="6"/>
      <c r="G257" s="6"/>
      <c r="H257" s="6"/>
    </row>
    <row r="258" spans="4:8" x14ac:dyDescent="0.25">
      <c r="D258" s="6"/>
      <c r="E258" s="6"/>
      <c r="F258" s="6"/>
      <c r="G258" s="6"/>
      <c r="H258" s="6"/>
    </row>
    <row r="259" spans="4:8" x14ac:dyDescent="0.25">
      <c r="D259" s="6"/>
      <c r="E259" s="6"/>
      <c r="F259" s="6"/>
      <c r="G259" s="6"/>
      <c r="H259" s="6"/>
    </row>
    <row r="260" spans="4:8" x14ac:dyDescent="0.25">
      <c r="D260" s="6"/>
      <c r="E260" s="6"/>
      <c r="F260" s="6"/>
      <c r="G260" s="6"/>
      <c r="H260" s="6"/>
    </row>
    <row r="261" spans="4:8" x14ac:dyDescent="0.25">
      <c r="D261" s="6"/>
      <c r="E261" s="6"/>
      <c r="F261" s="6"/>
      <c r="G261" s="6"/>
      <c r="H261" s="6"/>
    </row>
    <row r="262" spans="4:8" x14ac:dyDescent="0.25">
      <c r="D262" s="6"/>
      <c r="E262" s="6"/>
      <c r="F262" s="6"/>
      <c r="G262" s="6"/>
      <c r="H262" s="6"/>
    </row>
    <row r="263" spans="4:8" x14ac:dyDescent="0.25">
      <c r="D263" s="6"/>
      <c r="E263" s="6"/>
      <c r="F263" s="6"/>
      <c r="G263" s="6"/>
      <c r="H263" s="6"/>
    </row>
    <row r="264" spans="4:8" x14ac:dyDescent="0.25">
      <c r="D264" s="6"/>
      <c r="E264" s="6"/>
      <c r="F264" s="6"/>
      <c r="G264" s="6"/>
      <c r="H264" s="6"/>
    </row>
    <row r="265" spans="4:8" x14ac:dyDescent="0.25">
      <c r="D265" s="6"/>
      <c r="E265" s="6"/>
      <c r="F265" s="6"/>
      <c r="G265" s="6"/>
      <c r="H265" s="6"/>
    </row>
    <row r="266" spans="4:8" x14ac:dyDescent="0.25">
      <c r="D266" s="6"/>
      <c r="E266" s="6"/>
      <c r="F266" s="6"/>
      <c r="G266" s="6"/>
      <c r="H266" s="6"/>
    </row>
    <row r="267" spans="4:8" x14ac:dyDescent="0.25">
      <c r="D267" s="6"/>
      <c r="E267" s="6"/>
      <c r="F267" s="6"/>
      <c r="G267" s="6"/>
      <c r="H267" s="6"/>
    </row>
    <row r="268" spans="4:8" x14ac:dyDescent="0.25">
      <c r="D268" s="6"/>
      <c r="E268" s="6"/>
      <c r="F268" s="6"/>
      <c r="G268" s="6"/>
      <c r="H268" s="6"/>
    </row>
    <row r="269" spans="4:8" x14ac:dyDescent="0.25">
      <c r="D269" s="6"/>
      <c r="E269" s="6"/>
      <c r="F269" s="6"/>
      <c r="G269" s="6"/>
      <c r="H269" s="6"/>
    </row>
    <row r="270" spans="4:8" x14ac:dyDescent="0.25">
      <c r="D270" s="6"/>
      <c r="E270" s="6"/>
      <c r="F270" s="6"/>
      <c r="G270" s="6"/>
      <c r="H270" s="6"/>
    </row>
    <row r="271" spans="4:8" x14ac:dyDescent="0.25">
      <c r="D271" s="6"/>
      <c r="E271" s="6"/>
      <c r="F271" s="6"/>
      <c r="G271" s="6"/>
      <c r="H271" s="6"/>
    </row>
    <row r="272" spans="4:8" x14ac:dyDescent="0.25">
      <c r="D272" s="6"/>
      <c r="E272" s="6"/>
      <c r="F272" s="6"/>
      <c r="G272" s="6"/>
      <c r="H272" s="6"/>
    </row>
    <row r="273" spans="4:8" x14ac:dyDescent="0.25">
      <c r="D273" s="6"/>
      <c r="E273" s="6"/>
      <c r="F273" s="6"/>
      <c r="G273" s="6"/>
      <c r="H273" s="6"/>
    </row>
    <row r="274" spans="4:8" x14ac:dyDescent="0.25">
      <c r="D274" s="6"/>
      <c r="E274" s="6"/>
      <c r="F274" s="6"/>
      <c r="G274" s="6"/>
      <c r="H274" s="6"/>
    </row>
    <row r="275" spans="4:8" x14ac:dyDescent="0.25">
      <c r="D275" s="6"/>
      <c r="E275" s="6"/>
      <c r="F275" s="6"/>
      <c r="G275" s="6"/>
      <c r="H275" s="6"/>
    </row>
    <row r="276" spans="4:8" x14ac:dyDescent="0.25">
      <c r="D276" s="6"/>
      <c r="E276" s="6"/>
      <c r="F276" s="6"/>
      <c r="G276" s="6"/>
      <c r="H276" s="6"/>
    </row>
    <row r="277" spans="4:8" x14ac:dyDescent="0.25">
      <c r="D277" s="6"/>
      <c r="E277" s="6"/>
      <c r="F277" s="6"/>
      <c r="G277" s="6"/>
      <c r="H277" s="6"/>
    </row>
    <row r="278" spans="4:8" x14ac:dyDescent="0.25">
      <c r="D278" s="6"/>
      <c r="E278" s="6"/>
      <c r="F278" s="6"/>
      <c r="G278" s="6"/>
      <c r="H278" s="6"/>
    </row>
    <row r="279" spans="4:8" x14ac:dyDescent="0.25">
      <c r="D279" s="6"/>
      <c r="E279" s="6"/>
      <c r="F279" s="6"/>
      <c r="G279" s="6"/>
      <c r="H279" s="6"/>
    </row>
    <row r="280" spans="4:8" x14ac:dyDescent="0.25">
      <c r="D280" s="6"/>
      <c r="E280" s="6"/>
      <c r="F280" s="6"/>
      <c r="G280" s="6"/>
      <c r="H280" s="6"/>
    </row>
    <row r="281" spans="4:8" x14ac:dyDescent="0.25">
      <c r="D281" s="6"/>
      <c r="E281" s="6"/>
      <c r="F281" s="6"/>
      <c r="G281" s="6"/>
      <c r="H281" s="6"/>
    </row>
    <row r="282" spans="4:8" x14ac:dyDescent="0.25">
      <c r="D282" s="6"/>
      <c r="E282" s="6"/>
      <c r="F282" s="6"/>
      <c r="G282" s="6"/>
      <c r="H282" s="6"/>
    </row>
    <row r="283" spans="4:8" x14ac:dyDescent="0.25">
      <c r="D283" s="6"/>
      <c r="E283" s="6"/>
      <c r="F283" s="6"/>
      <c r="G283" s="6"/>
      <c r="H283" s="6"/>
    </row>
    <row r="284" spans="4:8" x14ac:dyDescent="0.25">
      <c r="D284" s="6"/>
      <c r="E284" s="6"/>
      <c r="F284" s="6"/>
      <c r="G284" s="6"/>
      <c r="H284" s="6"/>
    </row>
    <row r="285" spans="4:8" x14ac:dyDescent="0.25">
      <c r="D285" s="6"/>
      <c r="E285" s="6"/>
      <c r="F285" s="6"/>
      <c r="G285" s="6"/>
      <c r="H285" s="6"/>
    </row>
    <row r="286" spans="4:8" x14ac:dyDescent="0.25">
      <c r="D286" s="6"/>
      <c r="E286" s="6"/>
      <c r="F286" s="6"/>
      <c r="G286" s="6"/>
      <c r="H286" s="6"/>
    </row>
    <row r="287" spans="4:8" x14ac:dyDescent="0.25">
      <c r="D287" s="6"/>
      <c r="E287" s="6"/>
      <c r="F287" s="6"/>
      <c r="G287" s="6"/>
      <c r="H287" s="6"/>
    </row>
    <row r="288" spans="4:8" x14ac:dyDescent="0.25">
      <c r="D288" s="6"/>
      <c r="E288" s="6"/>
      <c r="F288" s="6"/>
      <c r="G288" s="6"/>
      <c r="H288" s="6"/>
    </row>
    <row r="289" spans="4:8" x14ac:dyDescent="0.25">
      <c r="D289" s="6"/>
      <c r="E289" s="6"/>
      <c r="F289" s="6"/>
      <c r="G289" s="6"/>
      <c r="H289" s="6"/>
    </row>
    <row r="290" spans="4:8" x14ac:dyDescent="0.25">
      <c r="D290" s="6"/>
      <c r="E290" s="6"/>
      <c r="F290" s="6"/>
      <c r="G290" s="6"/>
      <c r="H290" s="6"/>
    </row>
    <row r="291" spans="4:8" x14ac:dyDescent="0.25">
      <c r="D291" s="6"/>
      <c r="E291" s="6"/>
      <c r="F291" s="6"/>
      <c r="G291" s="6"/>
      <c r="H291" s="6"/>
    </row>
    <row r="292" spans="4:8" x14ac:dyDescent="0.25">
      <c r="D292" s="6"/>
      <c r="E292" s="6"/>
      <c r="F292" s="6"/>
      <c r="G292" s="6"/>
      <c r="H292" s="6"/>
    </row>
    <row r="293" spans="4:8" x14ac:dyDescent="0.25">
      <c r="D293" s="6"/>
      <c r="E293" s="6"/>
      <c r="F293" s="6"/>
      <c r="G293" s="6"/>
      <c r="H293" s="6"/>
    </row>
    <row r="294" spans="4:8" x14ac:dyDescent="0.25">
      <c r="D294" s="6"/>
      <c r="E294" s="6"/>
      <c r="F294" s="6"/>
      <c r="G294" s="6"/>
      <c r="H294" s="6"/>
    </row>
    <row r="295" spans="4:8" x14ac:dyDescent="0.25">
      <c r="D295" s="6"/>
      <c r="E295" s="6"/>
      <c r="F295" s="6"/>
      <c r="G295" s="6"/>
      <c r="H295" s="6"/>
    </row>
    <row r="296" spans="4:8" x14ac:dyDescent="0.25">
      <c r="D296" s="6"/>
      <c r="E296" s="6"/>
      <c r="F296" s="6"/>
      <c r="G296" s="6"/>
      <c r="H296" s="6"/>
    </row>
    <row r="297" spans="4:8" x14ac:dyDescent="0.25">
      <c r="D297" s="6"/>
      <c r="E297" s="6"/>
      <c r="F297" s="6"/>
      <c r="G297" s="6"/>
      <c r="H297" s="6"/>
    </row>
    <row r="298" spans="4:8" x14ac:dyDescent="0.25">
      <c r="D298" s="6"/>
      <c r="E298" s="6"/>
      <c r="F298" s="6"/>
      <c r="G298" s="6"/>
      <c r="H298" s="6"/>
    </row>
    <row r="299" spans="4:8" x14ac:dyDescent="0.25">
      <c r="D299" s="6"/>
      <c r="E299" s="6"/>
      <c r="F299" s="6"/>
      <c r="G299" s="6"/>
      <c r="H299" s="6"/>
    </row>
    <row r="300" spans="4:8" x14ac:dyDescent="0.25">
      <c r="D300" s="6"/>
      <c r="E300" s="6"/>
      <c r="F300" s="6"/>
      <c r="G300" s="6"/>
      <c r="H300" s="6"/>
    </row>
    <row r="301" spans="4:8" x14ac:dyDescent="0.25">
      <c r="D301" s="6"/>
      <c r="E301" s="6"/>
      <c r="F301" s="6"/>
      <c r="G301" s="6"/>
      <c r="H301" s="6"/>
    </row>
    <row r="302" spans="4:8" x14ac:dyDescent="0.25">
      <c r="D302" s="6"/>
      <c r="E302" s="6"/>
      <c r="F302" s="6"/>
      <c r="G302" s="6"/>
      <c r="H302" s="6"/>
    </row>
    <row r="303" spans="4:8" x14ac:dyDescent="0.25">
      <c r="D303" s="6"/>
      <c r="E303" s="6"/>
      <c r="F303" s="6"/>
      <c r="G303" s="6"/>
      <c r="H303" s="6"/>
    </row>
    <row r="304" spans="4:8" x14ac:dyDescent="0.25">
      <c r="D304" s="6"/>
      <c r="E304" s="6"/>
      <c r="F304" s="6"/>
      <c r="G304" s="6"/>
      <c r="H304" s="6"/>
    </row>
    <row r="305" spans="4:8" x14ac:dyDescent="0.25">
      <c r="D305" s="6"/>
      <c r="E305" s="6"/>
      <c r="F305" s="6"/>
      <c r="G305" s="6"/>
      <c r="H305" s="6"/>
    </row>
    <row r="306" spans="4:8" x14ac:dyDescent="0.25">
      <c r="D306" s="6"/>
      <c r="E306" s="6"/>
      <c r="F306" s="6"/>
      <c r="G306" s="6"/>
      <c r="H306" s="6"/>
    </row>
    <row r="307" spans="4:8" x14ac:dyDescent="0.25">
      <c r="D307" s="6"/>
      <c r="E307" s="6"/>
      <c r="F307" s="6"/>
      <c r="G307" s="6"/>
      <c r="H307" s="6"/>
    </row>
    <row r="308" spans="4:8" x14ac:dyDescent="0.25">
      <c r="D308" s="6"/>
      <c r="E308" s="6"/>
      <c r="F308" s="6"/>
      <c r="G308" s="6"/>
      <c r="H308" s="6"/>
    </row>
    <row r="309" spans="4:8" x14ac:dyDescent="0.25">
      <c r="D309" s="6"/>
      <c r="E309" s="6"/>
      <c r="F309" s="6"/>
      <c r="G309" s="6"/>
      <c r="H309" s="6"/>
    </row>
    <row r="310" spans="4:8" x14ac:dyDescent="0.25">
      <c r="D310" s="6"/>
      <c r="E310" s="6"/>
      <c r="F310" s="6"/>
      <c r="G310" s="6"/>
      <c r="H310" s="6"/>
    </row>
    <row r="311" spans="4:8" x14ac:dyDescent="0.25">
      <c r="D311" s="6"/>
      <c r="E311" s="6"/>
      <c r="F311" s="6"/>
      <c r="G311" s="6"/>
      <c r="H311" s="6"/>
    </row>
    <row r="312" spans="4:8" x14ac:dyDescent="0.25">
      <c r="D312" s="6"/>
      <c r="E312" s="6"/>
      <c r="F312" s="6"/>
      <c r="G312" s="6"/>
      <c r="H312" s="6"/>
    </row>
    <row r="313" spans="4:8" x14ac:dyDescent="0.25">
      <c r="D313" s="6"/>
      <c r="E313" s="6"/>
      <c r="F313" s="6"/>
      <c r="G313" s="6"/>
      <c r="H313" s="6"/>
    </row>
    <row r="314" spans="4:8" x14ac:dyDescent="0.25">
      <c r="D314" s="6"/>
      <c r="E314" s="6"/>
      <c r="F314" s="6"/>
      <c r="G314" s="6"/>
      <c r="H314" s="6"/>
    </row>
    <row r="315" spans="4:8" x14ac:dyDescent="0.25">
      <c r="D315" s="6"/>
      <c r="E315" s="6"/>
      <c r="F315" s="6"/>
      <c r="G315" s="6"/>
      <c r="H315" s="6"/>
    </row>
    <row r="316" spans="4:8" x14ac:dyDescent="0.25">
      <c r="D316" s="6"/>
      <c r="E316" s="6"/>
      <c r="F316" s="6"/>
      <c r="G316" s="6"/>
      <c r="H316" s="6"/>
    </row>
    <row r="317" spans="4:8" x14ac:dyDescent="0.25">
      <c r="D317" s="6"/>
      <c r="E317" s="6"/>
      <c r="F317" s="6"/>
      <c r="G317" s="6"/>
      <c r="H317" s="6"/>
    </row>
    <row r="318" spans="4:8" x14ac:dyDescent="0.25">
      <c r="D318" s="6"/>
      <c r="E318" s="6"/>
      <c r="F318" s="6"/>
      <c r="G318" s="6"/>
      <c r="H318" s="6"/>
    </row>
    <row r="319" spans="4:8" x14ac:dyDescent="0.25">
      <c r="D319" s="6"/>
      <c r="E319" s="6"/>
      <c r="F319" s="6"/>
      <c r="G319" s="6"/>
      <c r="H319" s="6"/>
    </row>
    <row r="320" spans="4:8" x14ac:dyDescent="0.25">
      <c r="D320" s="6"/>
      <c r="E320" s="6"/>
      <c r="F320" s="6"/>
      <c r="G320" s="6"/>
      <c r="H320" s="6"/>
    </row>
    <row r="321" spans="4:8" x14ac:dyDescent="0.25">
      <c r="D321" s="6"/>
      <c r="E321" s="6"/>
      <c r="F321" s="6"/>
      <c r="G321" s="6"/>
      <c r="H321" s="6"/>
    </row>
    <row r="322" spans="4:8" x14ac:dyDescent="0.25">
      <c r="D322" s="6"/>
      <c r="E322" s="6"/>
      <c r="F322" s="6"/>
      <c r="G322" s="6"/>
      <c r="H322" s="6"/>
    </row>
    <row r="323" spans="4:8" x14ac:dyDescent="0.25">
      <c r="D323" s="6"/>
      <c r="E323" s="6"/>
      <c r="F323" s="6"/>
      <c r="G323" s="6"/>
      <c r="H323" s="6"/>
    </row>
    <row r="324" spans="4:8" x14ac:dyDescent="0.25">
      <c r="D324" s="6"/>
      <c r="E324" s="6"/>
      <c r="F324" s="6"/>
      <c r="G324" s="6"/>
      <c r="H324" s="6"/>
    </row>
    <row r="325" spans="4:8" x14ac:dyDescent="0.25">
      <c r="D325" s="6"/>
      <c r="E325" s="6"/>
      <c r="F325" s="6"/>
      <c r="G325" s="6"/>
      <c r="H325" s="6"/>
    </row>
    <row r="326" spans="4:8" x14ac:dyDescent="0.25">
      <c r="D326" s="6"/>
      <c r="E326" s="6"/>
      <c r="F326" s="6"/>
      <c r="G326" s="6"/>
      <c r="H326" s="6"/>
    </row>
    <row r="327" spans="4:8" x14ac:dyDescent="0.25">
      <c r="D327" s="6"/>
      <c r="E327" s="6"/>
      <c r="F327" s="6"/>
      <c r="G327" s="6"/>
      <c r="H327" s="6"/>
    </row>
    <row r="328" spans="4:8" x14ac:dyDescent="0.25">
      <c r="D328" s="6"/>
      <c r="E328" s="6"/>
      <c r="F328" s="6"/>
      <c r="G328" s="6"/>
      <c r="H328" s="6"/>
    </row>
    <row r="329" spans="4:8" x14ac:dyDescent="0.25">
      <c r="D329" s="6"/>
      <c r="E329" s="6"/>
      <c r="F329" s="6"/>
      <c r="G329" s="6"/>
      <c r="H329" s="6"/>
    </row>
    <row r="330" spans="4:8" x14ac:dyDescent="0.25">
      <c r="D330" s="6"/>
      <c r="E330" s="6"/>
      <c r="F330" s="6"/>
      <c r="G330" s="6"/>
      <c r="H330" s="6"/>
    </row>
    <row r="331" spans="4:8" x14ac:dyDescent="0.25">
      <c r="D331" s="6"/>
      <c r="E331" s="6"/>
      <c r="F331" s="6"/>
      <c r="G331" s="6"/>
      <c r="H331" s="6"/>
    </row>
    <row r="332" spans="4:8" x14ac:dyDescent="0.25">
      <c r="D332" s="6"/>
      <c r="E332" s="6"/>
      <c r="F332" s="6"/>
      <c r="G332" s="6"/>
      <c r="H332" s="6"/>
    </row>
    <row r="333" spans="4:8" x14ac:dyDescent="0.25">
      <c r="D333" s="6"/>
      <c r="E333" s="6"/>
      <c r="F333" s="6"/>
      <c r="G333" s="6"/>
      <c r="H333" s="6"/>
    </row>
    <row r="334" spans="4:8" x14ac:dyDescent="0.25">
      <c r="D334" s="6"/>
      <c r="E334" s="6"/>
      <c r="F334" s="6"/>
      <c r="G334" s="6"/>
      <c r="H334" s="6"/>
    </row>
    <row r="335" spans="4:8" x14ac:dyDescent="0.25">
      <c r="D335" s="6"/>
      <c r="E335" s="6"/>
      <c r="F335" s="6"/>
      <c r="G335" s="6"/>
      <c r="H335" s="6"/>
    </row>
    <row r="336" spans="4:8" x14ac:dyDescent="0.25">
      <c r="D336" s="6"/>
      <c r="E336" s="6"/>
      <c r="F336" s="6"/>
      <c r="G336" s="6"/>
      <c r="H336" s="6"/>
    </row>
    <row r="337" spans="4:8" x14ac:dyDescent="0.25">
      <c r="D337" s="6"/>
      <c r="E337" s="6"/>
      <c r="F337" s="6"/>
      <c r="G337" s="6"/>
      <c r="H337" s="6"/>
    </row>
    <row r="338" spans="4:8" x14ac:dyDescent="0.25">
      <c r="D338" s="6"/>
      <c r="E338" s="6"/>
      <c r="F338" s="6"/>
      <c r="G338" s="6"/>
      <c r="H338" s="6"/>
    </row>
    <row r="339" spans="4:8" x14ac:dyDescent="0.25">
      <c r="D339" s="6"/>
      <c r="E339" s="6"/>
      <c r="F339" s="6"/>
      <c r="G339" s="6"/>
      <c r="H339" s="6"/>
    </row>
    <row r="340" spans="4:8" x14ac:dyDescent="0.25">
      <c r="D340" s="6"/>
      <c r="E340" s="6"/>
      <c r="F340" s="6"/>
      <c r="G340" s="6"/>
      <c r="H340" s="6"/>
    </row>
    <row r="341" spans="4:8" x14ac:dyDescent="0.25">
      <c r="D341" s="6"/>
      <c r="E341" s="6"/>
      <c r="F341" s="6"/>
      <c r="G341" s="6"/>
      <c r="H341" s="6"/>
    </row>
    <row r="342" spans="4:8" x14ac:dyDescent="0.25">
      <c r="D342" s="6"/>
      <c r="E342" s="6"/>
      <c r="F342" s="6"/>
      <c r="G342" s="6"/>
      <c r="H342" s="6"/>
    </row>
    <row r="343" spans="4:8" x14ac:dyDescent="0.25">
      <c r="D343" s="6"/>
      <c r="E343" s="6"/>
      <c r="F343" s="6"/>
      <c r="G343" s="6"/>
      <c r="H343" s="6"/>
    </row>
    <row r="344" spans="4:8" x14ac:dyDescent="0.25">
      <c r="D344" s="6"/>
      <c r="E344" s="6"/>
      <c r="F344" s="6"/>
      <c r="G344" s="6"/>
      <c r="H344" s="6"/>
    </row>
    <row r="345" spans="4:8" x14ac:dyDescent="0.25">
      <c r="D345" s="6"/>
      <c r="E345" s="6"/>
      <c r="F345" s="6"/>
      <c r="G345" s="6"/>
      <c r="H345" s="6"/>
    </row>
    <row r="346" spans="4:8" x14ac:dyDescent="0.25">
      <c r="D346" s="6"/>
      <c r="E346" s="6"/>
      <c r="F346" s="6"/>
      <c r="G346" s="6"/>
      <c r="H346" s="6"/>
    </row>
    <row r="347" spans="4:8" x14ac:dyDescent="0.25">
      <c r="D347" s="6"/>
      <c r="E347" s="6"/>
      <c r="F347" s="6"/>
      <c r="G347" s="6"/>
      <c r="H347" s="6"/>
    </row>
    <row r="348" spans="4:8" x14ac:dyDescent="0.25">
      <c r="D348" s="6"/>
      <c r="E348" s="6"/>
      <c r="F348" s="6"/>
      <c r="G348" s="6"/>
      <c r="H348" s="6"/>
    </row>
    <row r="349" spans="4:8" x14ac:dyDescent="0.25">
      <c r="D349" s="6"/>
      <c r="E349" s="6"/>
      <c r="F349" s="6"/>
      <c r="G349" s="6"/>
      <c r="H349" s="6"/>
    </row>
    <row r="350" spans="4:8" x14ac:dyDescent="0.25">
      <c r="D350" s="6"/>
      <c r="E350" s="6"/>
      <c r="F350" s="6"/>
      <c r="G350" s="6"/>
      <c r="H350" s="6"/>
    </row>
    <row r="351" spans="4:8" x14ac:dyDescent="0.25">
      <c r="D351" s="6"/>
      <c r="E351" s="6"/>
      <c r="F351" s="6"/>
      <c r="G351" s="6"/>
      <c r="H351" s="6"/>
    </row>
    <row r="352" spans="4:8" x14ac:dyDescent="0.25">
      <c r="D352" s="6"/>
      <c r="E352" s="6"/>
      <c r="F352" s="6"/>
      <c r="G352" s="6"/>
      <c r="H352" s="6"/>
    </row>
    <row r="353" spans="4:8" x14ac:dyDescent="0.25">
      <c r="D353" s="6"/>
      <c r="E353" s="6"/>
      <c r="F353" s="6"/>
      <c r="G353" s="6"/>
      <c r="H353" s="6"/>
    </row>
    <row r="354" spans="4:8" x14ac:dyDescent="0.25">
      <c r="D354" s="6"/>
      <c r="E354" s="6"/>
      <c r="F354" s="6"/>
      <c r="G354" s="6"/>
      <c r="H354" s="6"/>
    </row>
    <row r="355" spans="4:8" x14ac:dyDescent="0.25">
      <c r="D355" s="6"/>
      <c r="E355" s="6"/>
      <c r="F355" s="6"/>
      <c r="G355" s="6"/>
      <c r="H355" s="6"/>
    </row>
    <row r="356" spans="4:8" x14ac:dyDescent="0.25">
      <c r="D356" s="6"/>
      <c r="E356" s="6"/>
      <c r="F356" s="6"/>
      <c r="G356" s="6"/>
      <c r="H356" s="6"/>
    </row>
    <row r="357" spans="4:8" x14ac:dyDescent="0.25">
      <c r="D357" s="6"/>
      <c r="E357" s="6"/>
      <c r="F357" s="6"/>
      <c r="G357" s="6"/>
      <c r="H357" s="6"/>
    </row>
    <row r="358" spans="4:8" x14ac:dyDescent="0.25">
      <c r="D358" s="6"/>
      <c r="E358" s="6"/>
      <c r="F358" s="6"/>
      <c r="G358" s="6"/>
      <c r="H358" s="6"/>
    </row>
    <row r="359" spans="4:8" x14ac:dyDescent="0.25">
      <c r="D359" s="6"/>
      <c r="E359" s="6"/>
      <c r="F359" s="6"/>
      <c r="G359" s="6"/>
      <c r="H359" s="6"/>
    </row>
    <row r="360" spans="4:8" x14ac:dyDescent="0.25">
      <c r="D360" s="6"/>
      <c r="E360" s="6"/>
      <c r="F360" s="6"/>
      <c r="G360" s="6"/>
      <c r="H360" s="6"/>
    </row>
    <row r="361" spans="4:8" x14ac:dyDescent="0.25">
      <c r="D361" s="6"/>
      <c r="E361" s="6"/>
      <c r="F361" s="6"/>
      <c r="G361" s="6"/>
      <c r="H361" s="6"/>
    </row>
    <row r="362" spans="4:8" x14ac:dyDescent="0.25">
      <c r="D362" s="6"/>
      <c r="E362" s="6"/>
      <c r="F362" s="6"/>
      <c r="G362" s="6"/>
      <c r="H362" s="6"/>
    </row>
    <row r="363" spans="4:8" x14ac:dyDescent="0.25">
      <c r="D363" s="6"/>
      <c r="E363" s="6"/>
      <c r="F363" s="6"/>
      <c r="G363" s="6"/>
      <c r="H363" s="6"/>
    </row>
    <row r="364" spans="4:8" x14ac:dyDescent="0.25">
      <c r="D364" s="6"/>
      <c r="E364" s="6"/>
      <c r="F364" s="6"/>
      <c r="G364" s="6"/>
      <c r="H364" s="6"/>
    </row>
    <row r="365" spans="4:8" x14ac:dyDescent="0.25">
      <c r="D365" s="6"/>
      <c r="E365" s="6"/>
      <c r="F365" s="6"/>
      <c r="G365" s="6"/>
      <c r="H365" s="6"/>
    </row>
    <row r="366" spans="4:8" x14ac:dyDescent="0.25">
      <c r="D366" s="6"/>
      <c r="E366" s="6"/>
      <c r="F366" s="6"/>
      <c r="G366" s="6"/>
      <c r="H366" s="6"/>
    </row>
    <row r="367" spans="4:8" x14ac:dyDescent="0.25">
      <c r="D367" s="6"/>
      <c r="E367" s="6"/>
      <c r="F367" s="6"/>
      <c r="G367" s="6"/>
      <c r="H367" s="6"/>
    </row>
    <row r="368" spans="4:8" x14ac:dyDescent="0.25">
      <c r="D368" s="6"/>
      <c r="E368" s="6"/>
      <c r="F368" s="6"/>
      <c r="G368" s="6"/>
      <c r="H368" s="6"/>
    </row>
    <row r="369" spans="4:8" x14ac:dyDescent="0.25">
      <c r="D369" s="6"/>
      <c r="E369" s="6"/>
      <c r="F369" s="6"/>
      <c r="G369" s="6"/>
      <c r="H369" s="6"/>
    </row>
    <row r="370" spans="4:8" x14ac:dyDescent="0.25">
      <c r="D370" s="6"/>
      <c r="E370" s="6"/>
      <c r="F370" s="6"/>
      <c r="G370" s="6"/>
      <c r="H370" s="6"/>
    </row>
    <row r="371" spans="4:8" x14ac:dyDescent="0.25">
      <c r="D371" s="6"/>
      <c r="E371" s="6"/>
      <c r="F371" s="6"/>
      <c r="G371" s="6"/>
      <c r="H371" s="6"/>
    </row>
    <row r="372" spans="4:8" x14ac:dyDescent="0.25">
      <c r="D372" s="6"/>
      <c r="E372" s="6"/>
      <c r="F372" s="6"/>
      <c r="G372" s="6"/>
      <c r="H372" s="6"/>
    </row>
    <row r="373" spans="4:8" x14ac:dyDescent="0.25">
      <c r="D373" s="6"/>
      <c r="E373" s="6"/>
      <c r="F373" s="6"/>
      <c r="G373" s="6"/>
      <c r="H373" s="6"/>
    </row>
    <row r="374" spans="4:8" x14ac:dyDescent="0.25">
      <c r="D374" s="6"/>
      <c r="E374" s="6"/>
      <c r="F374" s="6"/>
      <c r="G374" s="6"/>
      <c r="H374" s="6"/>
    </row>
    <row r="375" spans="4:8" x14ac:dyDescent="0.25">
      <c r="D375" s="6"/>
      <c r="E375" s="6"/>
      <c r="F375" s="6"/>
      <c r="G375" s="6"/>
      <c r="H375" s="6"/>
    </row>
    <row r="376" spans="4:8" x14ac:dyDescent="0.25">
      <c r="D376" s="6"/>
      <c r="E376" s="6"/>
      <c r="F376" s="6"/>
      <c r="G376" s="6"/>
      <c r="H376" s="6"/>
    </row>
    <row r="377" spans="4:8" x14ac:dyDescent="0.25">
      <c r="D377" s="6"/>
      <c r="E377" s="6"/>
      <c r="F377" s="6"/>
      <c r="G377" s="6"/>
      <c r="H377" s="6"/>
    </row>
    <row r="378" spans="4:8" x14ac:dyDescent="0.25">
      <c r="D378" s="6"/>
      <c r="E378" s="6"/>
      <c r="F378" s="6"/>
      <c r="G378" s="6"/>
      <c r="H378" s="6"/>
    </row>
    <row r="379" spans="4:8" x14ac:dyDescent="0.25">
      <c r="D379" s="6"/>
      <c r="E379" s="6"/>
      <c r="F379" s="6"/>
      <c r="G379" s="6"/>
      <c r="H379" s="6"/>
    </row>
    <row r="380" spans="4:8" x14ac:dyDescent="0.25">
      <c r="D380" s="6"/>
      <c r="E380" s="6"/>
      <c r="F380" s="6"/>
      <c r="G380" s="6"/>
      <c r="H380" s="6"/>
    </row>
    <row r="381" spans="4:8" x14ac:dyDescent="0.25">
      <c r="D381" s="6"/>
      <c r="E381" s="6"/>
      <c r="F381" s="6"/>
      <c r="G381" s="6"/>
      <c r="H381" s="6"/>
    </row>
    <row r="382" spans="4:8" x14ac:dyDescent="0.25">
      <c r="D382" s="6"/>
      <c r="E382" s="6"/>
      <c r="F382" s="6"/>
      <c r="G382" s="6"/>
      <c r="H382" s="6"/>
    </row>
    <row r="383" spans="4:8" x14ac:dyDescent="0.25">
      <c r="D383" s="6"/>
      <c r="E383" s="6"/>
      <c r="F383" s="6"/>
      <c r="G383" s="6"/>
      <c r="H383" s="6"/>
    </row>
    <row r="384" spans="4:8" x14ac:dyDescent="0.25">
      <c r="D384" s="6"/>
      <c r="E384" s="6"/>
      <c r="F384" s="6"/>
      <c r="G384" s="6"/>
      <c r="H384" s="6"/>
    </row>
    <row r="385" spans="4:8" x14ac:dyDescent="0.25">
      <c r="D385" s="6"/>
      <c r="E385" s="6"/>
      <c r="F385" s="6"/>
      <c r="G385" s="6"/>
      <c r="H385" s="6"/>
    </row>
    <row r="386" spans="4:8" x14ac:dyDescent="0.25">
      <c r="D386" s="6"/>
      <c r="E386" s="6"/>
      <c r="F386" s="6"/>
      <c r="G386" s="6"/>
      <c r="H386" s="6"/>
    </row>
    <row r="387" spans="4:8" x14ac:dyDescent="0.25">
      <c r="D387" s="6"/>
      <c r="E387" s="6"/>
      <c r="F387" s="6"/>
      <c r="G387" s="6"/>
      <c r="H387" s="6"/>
    </row>
    <row r="388" spans="4:8" x14ac:dyDescent="0.25">
      <c r="D388" s="6"/>
      <c r="E388" s="6"/>
      <c r="F388" s="6"/>
      <c r="G388" s="6"/>
      <c r="H388" s="6"/>
    </row>
    <row r="389" spans="4:8" x14ac:dyDescent="0.25">
      <c r="D389" s="6"/>
      <c r="E389" s="6"/>
      <c r="F389" s="6"/>
      <c r="G389" s="6"/>
      <c r="H389" s="6"/>
    </row>
    <row r="390" spans="4:8" x14ac:dyDescent="0.25">
      <c r="D390" s="6"/>
      <c r="E390" s="6"/>
      <c r="F390" s="6"/>
      <c r="G390" s="6"/>
      <c r="H390" s="6"/>
    </row>
    <row r="391" spans="4:8" x14ac:dyDescent="0.25">
      <c r="D391" s="6"/>
      <c r="E391" s="6"/>
      <c r="F391" s="6"/>
      <c r="G391" s="6"/>
      <c r="H391" s="6"/>
    </row>
    <row r="392" spans="4:8" x14ac:dyDescent="0.25">
      <c r="D392" s="6"/>
      <c r="E392" s="6"/>
      <c r="F392" s="6"/>
      <c r="G392" s="6"/>
      <c r="H392" s="6"/>
    </row>
    <row r="393" spans="4:8" x14ac:dyDescent="0.25">
      <c r="D393" s="6"/>
      <c r="E393" s="6"/>
      <c r="F393" s="6"/>
      <c r="G393" s="6"/>
      <c r="H393" s="6"/>
    </row>
    <row r="394" spans="4:8" x14ac:dyDescent="0.25">
      <c r="D394" s="6"/>
      <c r="E394" s="6"/>
      <c r="F394" s="6"/>
      <c r="G394" s="6"/>
      <c r="H394" s="6"/>
    </row>
    <row r="395" spans="4:8" x14ac:dyDescent="0.25">
      <c r="D395" s="6"/>
      <c r="E395" s="6"/>
      <c r="F395" s="6"/>
      <c r="G395" s="6"/>
      <c r="H395" s="6"/>
    </row>
    <row r="396" spans="4:8" x14ac:dyDescent="0.25">
      <c r="D396" s="6"/>
      <c r="E396" s="6"/>
      <c r="F396" s="6"/>
      <c r="G396" s="6"/>
      <c r="H396" s="6"/>
    </row>
    <row r="397" spans="4:8" x14ac:dyDescent="0.25">
      <c r="D397" s="6"/>
      <c r="E397" s="6"/>
      <c r="F397" s="6"/>
      <c r="G397" s="6"/>
      <c r="H397" s="6"/>
    </row>
    <row r="398" spans="4:8" x14ac:dyDescent="0.25">
      <c r="D398" s="6"/>
      <c r="E398" s="6"/>
      <c r="F398" s="6"/>
      <c r="G398" s="6"/>
      <c r="H398" s="6"/>
    </row>
    <row r="399" spans="4:8" x14ac:dyDescent="0.25">
      <c r="D399" s="6"/>
      <c r="E399" s="6"/>
      <c r="F399" s="6"/>
      <c r="G399" s="6"/>
      <c r="H399" s="6"/>
    </row>
    <row r="400" spans="4:8" x14ac:dyDescent="0.25">
      <c r="D400" s="6"/>
      <c r="E400" s="6"/>
      <c r="F400" s="6"/>
      <c r="G400" s="6"/>
      <c r="H400" s="6"/>
    </row>
    <row r="401" spans="4:8" x14ac:dyDescent="0.25">
      <c r="D401" s="6"/>
      <c r="E401" s="6"/>
      <c r="F401" s="6"/>
      <c r="G401" s="6"/>
      <c r="H401" s="6"/>
    </row>
    <row r="402" spans="4:8" x14ac:dyDescent="0.25">
      <c r="D402" s="6"/>
      <c r="E402" s="6"/>
      <c r="F402" s="6"/>
      <c r="G402" s="6"/>
      <c r="H402" s="6"/>
    </row>
    <row r="403" spans="4:8" x14ac:dyDescent="0.25">
      <c r="D403" s="6"/>
      <c r="E403" s="6"/>
      <c r="F403" s="6"/>
      <c r="G403" s="6"/>
      <c r="H403" s="6"/>
    </row>
    <row r="404" spans="4:8" x14ac:dyDescent="0.25">
      <c r="D404" s="6"/>
      <c r="E404" s="6"/>
      <c r="F404" s="6"/>
      <c r="G404" s="6"/>
      <c r="H404" s="6"/>
    </row>
    <row r="405" spans="4:8" x14ac:dyDescent="0.25">
      <c r="D405" s="6"/>
      <c r="E405" s="6"/>
      <c r="F405" s="6"/>
      <c r="G405" s="6"/>
      <c r="H405" s="6"/>
    </row>
    <row r="406" spans="4:8" x14ac:dyDescent="0.25">
      <c r="D406" s="6"/>
      <c r="E406" s="6"/>
      <c r="F406" s="6"/>
      <c r="G406" s="6"/>
      <c r="H406" s="6"/>
    </row>
    <row r="407" spans="4:8" x14ac:dyDescent="0.25">
      <c r="D407" s="6"/>
      <c r="E407" s="6"/>
      <c r="F407" s="6"/>
      <c r="G407" s="6"/>
      <c r="H407" s="6"/>
    </row>
    <row r="408" spans="4:8" x14ac:dyDescent="0.25">
      <c r="D408" s="6"/>
      <c r="E408" s="6"/>
      <c r="F408" s="6"/>
      <c r="G408" s="6"/>
      <c r="H408" s="6"/>
    </row>
    <row r="409" spans="4:8" x14ac:dyDescent="0.25">
      <c r="D409" s="6"/>
      <c r="E409" s="6"/>
      <c r="F409" s="6"/>
      <c r="G409" s="6"/>
      <c r="H409" s="6"/>
    </row>
    <row r="410" spans="4:8" x14ac:dyDescent="0.25">
      <c r="D410" s="6"/>
      <c r="E410" s="6"/>
      <c r="F410" s="6"/>
      <c r="G410" s="6"/>
      <c r="H410" s="6"/>
    </row>
    <row r="411" spans="4:8" x14ac:dyDescent="0.25">
      <c r="D411" s="6"/>
      <c r="E411" s="6"/>
      <c r="F411" s="6"/>
      <c r="G411" s="6"/>
      <c r="H411" s="6"/>
    </row>
    <row r="412" spans="4:8" x14ac:dyDescent="0.25">
      <c r="D412" s="6"/>
      <c r="E412" s="6"/>
      <c r="F412" s="6"/>
      <c r="G412" s="6"/>
      <c r="H412" s="6"/>
    </row>
    <row r="413" spans="4:8" x14ac:dyDescent="0.25">
      <c r="D413" s="6"/>
      <c r="E413" s="6"/>
      <c r="F413" s="6"/>
      <c r="G413" s="6"/>
      <c r="H413" s="6"/>
    </row>
    <row r="414" spans="4:8" x14ac:dyDescent="0.25">
      <c r="D414" s="6"/>
      <c r="E414" s="6"/>
      <c r="F414" s="6"/>
      <c r="G414" s="6"/>
      <c r="H414" s="6"/>
    </row>
    <row r="415" spans="4:8" x14ac:dyDescent="0.25">
      <c r="D415" s="6"/>
      <c r="E415" s="6"/>
      <c r="F415" s="6"/>
      <c r="G415" s="6"/>
      <c r="H415" s="6"/>
    </row>
    <row r="416" spans="4:8" x14ac:dyDescent="0.25">
      <c r="D416" s="6"/>
      <c r="E416" s="6"/>
      <c r="F416" s="6"/>
      <c r="G416" s="6"/>
      <c r="H416" s="6"/>
    </row>
    <row r="417" spans="4:8" x14ac:dyDescent="0.25">
      <c r="D417" s="6"/>
      <c r="E417" s="6"/>
      <c r="F417" s="6"/>
      <c r="G417" s="6"/>
      <c r="H417" s="6"/>
    </row>
    <row r="418" spans="4:8" x14ac:dyDescent="0.25">
      <c r="D418" s="6"/>
      <c r="E418" s="6"/>
      <c r="F418" s="6"/>
      <c r="G418" s="6"/>
      <c r="H418" s="6"/>
    </row>
    <row r="419" spans="4:8" x14ac:dyDescent="0.25">
      <c r="D419" s="6"/>
      <c r="E419" s="6"/>
      <c r="F419" s="6"/>
      <c r="G419" s="6"/>
      <c r="H419" s="6"/>
    </row>
    <row r="420" spans="4:8" x14ac:dyDescent="0.25">
      <c r="D420" s="6"/>
      <c r="E420" s="6"/>
      <c r="F420" s="6"/>
      <c r="G420" s="6"/>
      <c r="H420" s="6"/>
    </row>
    <row r="421" spans="4:8" x14ac:dyDescent="0.25">
      <c r="D421" s="6"/>
      <c r="E421" s="6"/>
      <c r="F421" s="6"/>
      <c r="G421" s="6"/>
      <c r="H421" s="6"/>
    </row>
    <row r="422" spans="4:8" x14ac:dyDescent="0.25">
      <c r="D422" s="6"/>
      <c r="E422" s="6"/>
      <c r="F422" s="6"/>
      <c r="G422" s="6"/>
      <c r="H422" s="6"/>
    </row>
    <row r="423" spans="4:8" x14ac:dyDescent="0.25">
      <c r="D423" s="6"/>
      <c r="E423" s="6"/>
      <c r="F423" s="6"/>
      <c r="G423" s="6"/>
      <c r="H423" s="6"/>
    </row>
    <row r="424" spans="4:8" x14ac:dyDescent="0.25">
      <c r="D424" s="6"/>
      <c r="E424" s="6"/>
      <c r="F424" s="6"/>
      <c r="G424" s="6"/>
      <c r="H424" s="6"/>
    </row>
    <row r="425" spans="4:8" x14ac:dyDescent="0.25">
      <c r="D425" s="6"/>
      <c r="E425" s="6"/>
      <c r="F425" s="6"/>
      <c r="G425" s="6"/>
      <c r="H425" s="6"/>
    </row>
    <row r="426" spans="4:8" x14ac:dyDescent="0.25">
      <c r="D426" s="6"/>
      <c r="E426" s="6"/>
      <c r="F426" s="6"/>
      <c r="G426" s="6"/>
      <c r="H426" s="6"/>
    </row>
    <row r="427" spans="4:8" x14ac:dyDescent="0.25">
      <c r="D427" s="6"/>
      <c r="E427" s="6"/>
      <c r="F427" s="6"/>
      <c r="G427" s="6"/>
      <c r="H427" s="6"/>
    </row>
    <row r="428" spans="4:8" x14ac:dyDescent="0.25">
      <c r="D428" s="6"/>
      <c r="E428" s="6"/>
      <c r="F428" s="6"/>
      <c r="G428" s="6"/>
      <c r="H428" s="6"/>
    </row>
    <row r="429" spans="4:8" x14ac:dyDescent="0.25">
      <c r="D429" s="6"/>
      <c r="E429" s="6"/>
      <c r="F429" s="6"/>
      <c r="G429" s="6"/>
      <c r="H429" s="6"/>
    </row>
    <row r="430" spans="4:8" x14ac:dyDescent="0.25">
      <c r="D430" s="6"/>
      <c r="E430" s="6"/>
      <c r="F430" s="6"/>
      <c r="G430" s="6"/>
      <c r="H430" s="6"/>
    </row>
    <row r="431" spans="4:8" x14ac:dyDescent="0.25">
      <c r="D431" s="6"/>
      <c r="E431" s="6"/>
      <c r="F431" s="6"/>
      <c r="G431" s="6"/>
      <c r="H431" s="6"/>
    </row>
    <row r="432" spans="4:8" x14ac:dyDescent="0.25">
      <c r="D432" s="6"/>
      <c r="E432" s="6"/>
      <c r="F432" s="6"/>
      <c r="G432" s="6"/>
      <c r="H432" s="6"/>
    </row>
    <row r="433" spans="4:8" x14ac:dyDescent="0.25">
      <c r="D433" s="6"/>
      <c r="E433" s="6"/>
      <c r="F433" s="6"/>
      <c r="G433" s="6"/>
      <c r="H433" s="6"/>
    </row>
    <row r="434" spans="4:8" x14ac:dyDescent="0.25">
      <c r="D434" s="6"/>
      <c r="E434" s="6"/>
      <c r="F434" s="6"/>
      <c r="G434" s="6"/>
      <c r="H434" s="6"/>
    </row>
    <row r="435" spans="4:8" x14ac:dyDescent="0.25">
      <c r="D435" s="6"/>
      <c r="E435" s="6"/>
      <c r="F435" s="6"/>
      <c r="G435" s="6"/>
      <c r="H435" s="6"/>
    </row>
    <row r="436" spans="4:8" x14ac:dyDescent="0.25">
      <c r="D436" s="6"/>
      <c r="E436" s="6"/>
      <c r="F436" s="6"/>
      <c r="G436" s="6"/>
      <c r="H436" s="6"/>
    </row>
    <row r="437" spans="4:8" x14ac:dyDescent="0.25">
      <c r="D437" s="6"/>
      <c r="E437" s="6"/>
      <c r="F437" s="6"/>
      <c r="G437" s="6"/>
      <c r="H437" s="6"/>
    </row>
    <row r="438" spans="4:8" x14ac:dyDescent="0.25">
      <c r="D438" s="6"/>
      <c r="E438" s="6"/>
      <c r="F438" s="6"/>
      <c r="G438" s="6"/>
      <c r="H438" s="6"/>
    </row>
    <row r="439" spans="4:8" x14ac:dyDescent="0.25">
      <c r="D439" s="6"/>
      <c r="E439" s="6"/>
      <c r="F439" s="6"/>
      <c r="G439" s="6"/>
      <c r="H439" s="6"/>
    </row>
    <row r="440" spans="4:8" x14ac:dyDescent="0.25">
      <c r="D440" s="6"/>
      <c r="E440" s="6"/>
      <c r="F440" s="6"/>
      <c r="G440" s="6"/>
      <c r="H440" s="6"/>
    </row>
    <row r="441" spans="4:8" x14ac:dyDescent="0.25">
      <c r="D441" s="6"/>
      <c r="E441" s="6"/>
      <c r="F441" s="6"/>
      <c r="G441" s="6"/>
      <c r="H441" s="6"/>
    </row>
    <row r="442" spans="4:8" x14ac:dyDescent="0.25">
      <c r="D442" s="6"/>
      <c r="E442" s="6"/>
      <c r="F442" s="6"/>
      <c r="G442" s="6"/>
      <c r="H442" s="6"/>
    </row>
    <row r="443" spans="4:8" x14ac:dyDescent="0.25">
      <c r="D443" s="6"/>
      <c r="E443" s="6"/>
      <c r="F443" s="6"/>
      <c r="G443" s="6"/>
      <c r="H443" s="6"/>
    </row>
    <row r="444" spans="4:8" x14ac:dyDescent="0.25">
      <c r="D444" s="6"/>
      <c r="E444" s="6"/>
      <c r="F444" s="6"/>
      <c r="G444" s="6"/>
      <c r="H444" s="6"/>
    </row>
    <row r="445" spans="4:8" x14ac:dyDescent="0.25">
      <c r="D445" s="6"/>
      <c r="E445" s="6"/>
      <c r="F445" s="6"/>
      <c r="G445" s="6"/>
      <c r="H445" s="6"/>
    </row>
    <row r="446" spans="4:8" x14ac:dyDescent="0.25">
      <c r="D446" s="6"/>
      <c r="E446" s="6"/>
      <c r="F446" s="6"/>
      <c r="G446" s="6"/>
      <c r="H446" s="6"/>
    </row>
    <row r="447" spans="4:8" x14ac:dyDescent="0.25">
      <c r="D447" s="6"/>
      <c r="E447" s="6"/>
      <c r="F447" s="6"/>
      <c r="G447" s="6"/>
      <c r="H447" s="6"/>
    </row>
    <row r="448" spans="4:8" x14ac:dyDescent="0.25">
      <c r="D448" s="6"/>
      <c r="E448" s="6"/>
      <c r="F448" s="6"/>
      <c r="G448" s="6"/>
      <c r="H448" s="6"/>
    </row>
    <row r="449" spans="4:8" x14ac:dyDescent="0.25">
      <c r="D449" s="6"/>
      <c r="E449" s="6"/>
      <c r="F449" s="6"/>
      <c r="G449" s="6"/>
      <c r="H449" s="6"/>
    </row>
    <row r="450" spans="4:8" x14ac:dyDescent="0.25">
      <c r="D450" s="6"/>
      <c r="E450" s="6"/>
      <c r="F450" s="6"/>
      <c r="G450" s="6"/>
      <c r="H450" s="6"/>
    </row>
    <row r="451" spans="4:8" x14ac:dyDescent="0.25">
      <c r="D451" s="6"/>
      <c r="E451" s="6"/>
      <c r="F451" s="6"/>
      <c r="G451" s="6"/>
      <c r="H451" s="6"/>
    </row>
    <row r="452" spans="4:8" x14ac:dyDescent="0.25">
      <c r="D452" s="6"/>
      <c r="E452" s="6"/>
      <c r="F452" s="6"/>
      <c r="G452" s="6"/>
      <c r="H452" s="6"/>
    </row>
    <row r="453" spans="4:8" x14ac:dyDescent="0.25">
      <c r="D453" s="6"/>
      <c r="E453" s="6"/>
      <c r="F453" s="6"/>
      <c r="G453" s="6"/>
      <c r="H453" s="6"/>
    </row>
    <row r="454" spans="4:8" x14ac:dyDescent="0.25">
      <c r="D454" s="6"/>
      <c r="E454" s="6"/>
      <c r="F454" s="6"/>
      <c r="G454" s="6"/>
      <c r="H454" s="6"/>
    </row>
    <row r="455" spans="4:8" x14ac:dyDescent="0.25">
      <c r="D455" s="6"/>
      <c r="E455" s="6"/>
      <c r="F455" s="6"/>
      <c r="G455" s="6"/>
      <c r="H455" s="6"/>
    </row>
    <row r="456" spans="4:8" x14ac:dyDescent="0.25">
      <c r="D456" s="6"/>
      <c r="E456" s="6"/>
      <c r="F456" s="6"/>
      <c r="G456" s="6"/>
      <c r="H456" s="6"/>
    </row>
    <row r="457" spans="4:8" x14ac:dyDescent="0.25">
      <c r="D457" s="6"/>
      <c r="E457" s="6"/>
      <c r="F457" s="6"/>
      <c r="G457" s="6"/>
      <c r="H457" s="6"/>
    </row>
    <row r="458" spans="4:8" x14ac:dyDescent="0.25">
      <c r="D458" s="6"/>
      <c r="E458" s="6"/>
      <c r="F458" s="6"/>
      <c r="G458" s="6"/>
      <c r="H458" s="6"/>
    </row>
    <row r="459" spans="4:8" x14ac:dyDescent="0.25">
      <c r="D459" s="6"/>
      <c r="E459" s="6"/>
      <c r="F459" s="6"/>
      <c r="G459" s="6"/>
      <c r="H459" s="6"/>
    </row>
    <row r="460" spans="4:8" x14ac:dyDescent="0.25">
      <c r="D460" s="6"/>
      <c r="E460" s="6"/>
      <c r="F460" s="6"/>
      <c r="G460" s="6"/>
      <c r="H460" s="6"/>
    </row>
    <row r="461" spans="4:8" x14ac:dyDescent="0.25">
      <c r="D461" s="6"/>
      <c r="E461" s="6"/>
      <c r="F461" s="6"/>
      <c r="G461" s="6"/>
      <c r="H461" s="6"/>
    </row>
    <row r="462" spans="4:8" x14ac:dyDescent="0.25">
      <c r="D462" s="6"/>
      <c r="E462" s="6"/>
      <c r="F462" s="6"/>
      <c r="G462" s="6"/>
      <c r="H462" s="6"/>
    </row>
    <row r="463" spans="4:8" x14ac:dyDescent="0.25">
      <c r="D463" s="6"/>
      <c r="E463" s="6"/>
      <c r="F463" s="6"/>
      <c r="G463" s="6"/>
      <c r="H463" s="6"/>
    </row>
    <row r="464" spans="4:8" x14ac:dyDescent="0.25">
      <c r="D464" s="6"/>
      <c r="E464" s="6"/>
      <c r="F464" s="6"/>
      <c r="G464" s="6"/>
      <c r="H464" s="6"/>
    </row>
    <row r="465" spans="4:8" x14ac:dyDescent="0.25">
      <c r="D465" s="6"/>
      <c r="E465" s="6"/>
      <c r="F465" s="6"/>
      <c r="G465" s="6"/>
      <c r="H465" s="6"/>
    </row>
    <row r="466" spans="4:8" x14ac:dyDescent="0.25">
      <c r="D466" s="6"/>
      <c r="E466" s="6"/>
      <c r="F466" s="6"/>
      <c r="G466" s="6"/>
      <c r="H466" s="6"/>
    </row>
    <row r="467" spans="4:8" x14ac:dyDescent="0.25">
      <c r="D467" s="6"/>
      <c r="E467" s="6"/>
      <c r="F467" s="6"/>
      <c r="G467" s="6"/>
      <c r="H467" s="6"/>
    </row>
    <row r="468" spans="4:8" x14ac:dyDescent="0.25">
      <c r="D468" s="6"/>
      <c r="E468" s="6"/>
      <c r="F468" s="6"/>
      <c r="G468" s="6"/>
      <c r="H468" s="6"/>
    </row>
    <row r="469" spans="4:8" x14ac:dyDescent="0.25">
      <c r="D469" s="6"/>
      <c r="E469" s="6"/>
      <c r="F469" s="6"/>
      <c r="G469" s="6"/>
      <c r="H469" s="6"/>
    </row>
    <row r="470" spans="4:8" x14ac:dyDescent="0.25">
      <c r="D470" s="6"/>
      <c r="E470" s="6"/>
      <c r="F470" s="6"/>
      <c r="G470" s="6"/>
      <c r="H470" s="6"/>
    </row>
    <row r="471" spans="4:8" x14ac:dyDescent="0.25">
      <c r="D471" s="6"/>
      <c r="E471" s="6"/>
      <c r="F471" s="6"/>
      <c r="G471" s="6"/>
      <c r="H471" s="6"/>
    </row>
    <row r="472" spans="4:8" x14ac:dyDescent="0.25">
      <c r="D472" s="6"/>
      <c r="E472" s="6"/>
      <c r="F472" s="6"/>
      <c r="G472" s="6"/>
      <c r="H472" s="6"/>
    </row>
    <row r="473" spans="4:8" x14ac:dyDescent="0.25">
      <c r="D473" s="6"/>
      <c r="E473" s="6"/>
      <c r="F473" s="6"/>
      <c r="G473" s="6"/>
      <c r="H473" s="6"/>
    </row>
    <row r="474" spans="4:8" x14ac:dyDescent="0.25">
      <c r="D474" s="6"/>
      <c r="E474" s="6"/>
      <c r="F474" s="6"/>
      <c r="G474" s="6"/>
      <c r="H474" s="6"/>
    </row>
    <row r="475" spans="4:8" x14ac:dyDescent="0.25">
      <c r="D475" s="6"/>
      <c r="E475" s="6"/>
      <c r="F475" s="6"/>
      <c r="G475" s="6"/>
      <c r="H475" s="6"/>
    </row>
    <row r="476" spans="4:8" x14ac:dyDescent="0.25">
      <c r="D476" s="6"/>
      <c r="E476" s="6"/>
      <c r="F476" s="6"/>
      <c r="G476" s="6"/>
      <c r="H476" s="6"/>
    </row>
    <row r="477" spans="4:8" x14ac:dyDescent="0.25">
      <c r="D477" s="6"/>
      <c r="E477" s="6"/>
      <c r="F477" s="6"/>
      <c r="G477" s="6"/>
      <c r="H477" s="6"/>
    </row>
    <row r="478" spans="4:8" x14ac:dyDescent="0.25">
      <c r="D478" s="6"/>
      <c r="E478" s="6"/>
      <c r="F478" s="6"/>
      <c r="G478" s="6"/>
      <c r="H478" s="6"/>
    </row>
    <row r="479" spans="4:8" x14ac:dyDescent="0.25">
      <c r="D479" s="6"/>
      <c r="E479" s="6"/>
      <c r="F479" s="6"/>
      <c r="G479" s="6"/>
      <c r="H479" s="6"/>
    </row>
    <row r="480" spans="4:8" x14ac:dyDescent="0.25">
      <c r="D480" s="6"/>
      <c r="E480" s="6"/>
      <c r="F480" s="6"/>
      <c r="G480" s="6"/>
      <c r="H480" s="6"/>
    </row>
    <row r="481" spans="4:8" x14ac:dyDescent="0.25">
      <c r="D481" s="6"/>
      <c r="E481" s="6"/>
      <c r="F481" s="6"/>
      <c r="G481" s="6"/>
      <c r="H481" s="6"/>
    </row>
    <row r="482" spans="4:8" x14ac:dyDescent="0.25">
      <c r="D482" s="6"/>
      <c r="E482" s="6"/>
      <c r="F482" s="6"/>
      <c r="G482" s="6"/>
      <c r="H482" s="6"/>
    </row>
    <row r="483" spans="4:8" x14ac:dyDescent="0.25">
      <c r="D483" s="6"/>
      <c r="E483" s="6"/>
      <c r="F483" s="6"/>
      <c r="G483" s="6"/>
      <c r="H483" s="6"/>
    </row>
    <row r="484" spans="4:8" x14ac:dyDescent="0.25">
      <c r="D484" s="6"/>
      <c r="E484" s="6"/>
      <c r="F484" s="6"/>
      <c r="G484" s="6"/>
      <c r="H484" s="6"/>
    </row>
    <row r="485" spans="4:8" x14ac:dyDescent="0.25">
      <c r="D485" s="6"/>
      <c r="E485" s="6"/>
      <c r="F485" s="6"/>
      <c r="G485" s="6"/>
      <c r="H485" s="6"/>
    </row>
    <row r="486" spans="4:8" x14ac:dyDescent="0.25">
      <c r="D486" s="6"/>
      <c r="E486" s="6"/>
      <c r="F486" s="6"/>
      <c r="G486" s="6"/>
      <c r="H486" s="6"/>
    </row>
    <row r="487" spans="4:8" x14ac:dyDescent="0.25">
      <c r="D487" s="6"/>
      <c r="E487" s="6"/>
      <c r="F487" s="6"/>
      <c r="G487" s="6"/>
      <c r="H487" s="6"/>
    </row>
    <row r="488" spans="4:8" x14ac:dyDescent="0.25">
      <c r="D488" s="6"/>
      <c r="E488" s="6"/>
      <c r="F488" s="6"/>
      <c r="G488" s="6"/>
      <c r="H488" s="6"/>
    </row>
    <row r="489" spans="4:8" x14ac:dyDescent="0.25">
      <c r="D489" s="6"/>
      <c r="E489" s="6"/>
      <c r="F489" s="6"/>
      <c r="G489" s="6"/>
      <c r="H489" s="6"/>
    </row>
    <row r="490" spans="4:8" x14ac:dyDescent="0.25">
      <c r="D490" s="6"/>
      <c r="E490" s="6"/>
      <c r="F490" s="6"/>
      <c r="G490" s="6"/>
      <c r="H490" s="6"/>
    </row>
    <row r="491" spans="4:8" x14ac:dyDescent="0.25">
      <c r="D491" s="6"/>
      <c r="E491" s="6"/>
      <c r="F491" s="6"/>
      <c r="G491" s="6"/>
      <c r="H491" s="6"/>
    </row>
    <row r="492" spans="4:8" x14ac:dyDescent="0.25">
      <c r="D492" s="6"/>
      <c r="E492" s="6"/>
      <c r="F492" s="6"/>
      <c r="G492" s="6"/>
      <c r="H492" s="6"/>
    </row>
    <row r="493" spans="4:8" x14ac:dyDescent="0.25">
      <c r="D493" s="6"/>
      <c r="E493" s="6"/>
      <c r="F493" s="6"/>
      <c r="G493" s="6"/>
      <c r="H493" s="6"/>
    </row>
    <row r="494" spans="4:8" x14ac:dyDescent="0.25">
      <c r="D494" s="6"/>
      <c r="E494" s="6"/>
      <c r="F494" s="6"/>
      <c r="G494" s="6"/>
      <c r="H494" s="6"/>
    </row>
    <row r="495" spans="4:8" x14ac:dyDescent="0.25">
      <c r="D495" s="6"/>
      <c r="E495" s="6"/>
      <c r="F495" s="6"/>
      <c r="G495" s="6"/>
      <c r="H495" s="6"/>
    </row>
    <row r="496" spans="4:8" x14ac:dyDescent="0.25">
      <c r="D496" s="6"/>
      <c r="E496" s="6"/>
      <c r="F496" s="6"/>
      <c r="G496" s="6"/>
      <c r="H496" s="6"/>
    </row>
    <row r="497" spans="4:8" x14ac:dyDescent="0.25">
      <c r="D497" s="6"/>
      <c r="E497" s="6"/>
      <c r="F497" s="6"/>
      <c r="G497" s="6"/>
      <c r="H497" s="6"/>
    </row>
    <row r="498" spans="4:8" x14ac:dyDescent="0.25">
      <c r="D498" s="6"/>
      <c r="E498" s="6"/>
      <c r="F498" s="6"/>
      <c r="G498" s="6"/>
      <c r="H498" s="6"/>
    </row>
    <row r="499" spans="4:8" x14ac:dyDescent="0.25">
      <c r="D499" s="6"/>
      <c r="E499" s="6"/>
      <c r="F499" s="6"/>
      <c r="G499" s="6"/>
      <c r="H499" s="6"/>
    </row>
    <row r="500" spans="4:8" x14ac:dyDescent="0.25">
      <c r="D500" s="6"/>
      <c r="E500" s="6"/>
      <c r="F500" s="6"/>
      <c r="G500" s="6"/>
      <c r="H500" s="6"/>
    </row>
    <row r="501" spans="4:8" x14ac:dyDescent="0.25">
      <c r="D501" s="6"/>
      <c r="E501" s="6"/>
      <c r="F501" s="6"/>
      <c r="G501" s="6"/>
      <c r="H501" s="6"/>
    </row>
    <row r="502" spans="4:8" x14ac:dyDescent="0.25">
      <c r="D502" s="6"/>
      <c r="E502" s="6"/>
      <c r="F502" s="6"/>
      <c r="G502" s="6"/>
      <c r="H502" s="6"/>
    </row>
    <row r="503" spans="4:8" x14ac:dyDescent="0.25">
      <c r="D503" s="6"/>
      <c r="E503" s="6"/>
      <c r="F503" s="6"/>
      <c r="G503" s="6"/>
      <c r="H503" s="6"/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>
      <selection activeCell="A10" sqref="A10"/>
    </sheetView>
  </sheetViews>
  <sheetFormatPr defaultRowHeight="15" x14ac:dyDescent="0.25"/>
  <cols>
    <col min="1" max="1" width="16.5703125" customWidth="1"/>
    <col min="2" max="2" width="21.140625" customWidth="1"/>
  </cols>
  <sheetData>
    <row r="1" spans="1:2" ht="26.25" x14ac:dyDescent="0.4">
      <c r="A1" s="54" t="s">
        <v>137</v>
      </c>
    </row>
    <row r="2" spans="1:2" x14ac:dyDescent="0.25">
      <c r="A2" s="58" t="s">
        <v>48</v>
      </c>
    </row>
    <row r="3" spans="1:2" x14ac:dyDescent="0.25">
      <c r="A3" s="43" t="s">
        <v>49</v>
      </c>
    </row>
    <row r="4" spans="1:2" x14ac:dyDescent="0.25">
      <c r="A4" s="58" t="s">
        <v>50</v>
      </c>
    </row>
    <row r="5" spans="1:2" x14ac:dyDescent="0.25">
      <c r="A5" s="1"/>
    </row>
    <row r="7" spans="1:2" x14ac:dyDescent="0.25">
      <c r="A7" s="17" t="s">
        <v>51</v>
      </c>
      <c r="B7" s="31" t="s">
        <v>52</v>
      </c>
    </row>
    <row r="8" spans="1:2" x14ac:dyDescent="0.25">
      <c r="A8" t="s">
        <v>53</v>
      </c>
      <c r="B8" t="str">
        <f>TEXT(LEFT(A8,FIND(".",A8,1)-1),"000") &amp; "." &amp; TEXT(MID(A8,FIND( ".",A8,1)+1,FIND(".",A8,FIND(".",A8,1)+1)-FIND(".",A8,1)-1),"000") &amp; "." &amp; TEXT(MID(A8,FIND(".",A8,FIND(".",A8,1)+1)+1,FIND(".",A8, FIND(".",A8,FIND(".",A8,1)+1)+1)-FIND(".",A8,FIND(".",A8,1)+1)-1), "000") &amp; "." &amp; TEXT(RIGHT(A8,LEN(A8)-FIND(".",A8,FIND(".",A8,FIND( ".",A8,1)+1)+1)),"000")</f>
        <v>192.168.012.001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Calculate Network</vt:lpstr>
      <vt:lpstr>CLASSES</vt:lpstr>
      <vt:lpstr>Reserved IP Addresses</vt:lpstr>
      <vt:lpstr>Subnetting</vt:lpstr>
      <vt:lpstr>Fixed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Mears, Christopher</dc:creator>
  <cp:keywords/>
  <dc:description/>
  <cp:lastModifiedBy>Christopher Mears</cp:lastModifiedBy>
  <cp:revision/>
  <dcterms:created xsi:type="dcterms:W3CDTF">2021-03-03T20:28:18Z</dcterms:created>
  <dcterms:modified xsi:type="dcterms:W3CDTF">2025-11-06T10:56:22Z</dcterms:modified>
  <cp:category/>
  <cp:contentStatus/>
</cp:coreProperties>
</file>